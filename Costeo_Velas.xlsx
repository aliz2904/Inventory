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Velisima\"/>
    </mc:Choice>
  </mc:AlternateContent>
  <xr:revisionPtr revIDLastSave="0" documentId="13_ncr:1_{E417A09F-73F8-41B4-B7C0-881035ED01C5}" xr6:coauthVersionLast="47" xr6:coauthVersionMax="47" xr10:uidLastSave="{00000000-0000-0000-0000-000000000000}"/>
  <bookViews>
    <workbookView xWindow="-110" yWindow="-110" windowWidth="19420" windowHeight="11020" xr2:uid="{00000000-000D-0000-FFFF-FFFF00000000}"/>
  </bookViews>
  <sheets>
    <sheet name="Costeo Velas" sheetId="1" r:id="rId1"/>
    <sheet name="Fragancias" sheetId="2" r:id="rId2"/>
    <sheet name="Insumo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2" i="1" l="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32" i="1"/>
  <c r="F30" i="1"/>
  <c r="F31" i="1"/>
  <c r="D67" i="1"/>
  <c r="D43" i="1"/>
  <c r="D44" i="1"/>
  <c r="D45" i="1"/>
  <c r="D46" i="1"/>
  <c r="D47" i="1"/>
  <c r="D48" i="1"/>
  <c r="D49" i="1"/>
  <c r="D50" i="1"/>
  <c r="D51" i="1"/>
  <c r="D52" i="1"/>
  <c r="D53" i="1"/>
  <c r="D54" i="1"/>
  <c r="D55" i="1"/>
  <c r="D56" i="1"/>
  <c r="D57" i="1"/>
  <c r="D58" i="1"/>
  <c r="D59" i="1"/>
  <c r="D60" i="1"/>
  <c r="D61" i="1"/>
  <c r="D62" i="1"/>
  <c r="D63" i="1"/>
  <c r="D64" i="1"/>
  <c r="D65" i="1"/>
  <c r="D66" i="1"/>
  <c r="D36" i="1"/>
  <c r="D37" i="1"/>
  <c r="D38" i="1"/>
  <c r="D39" i="1"/>
  <c r="D40" i="1"/>
  <c r="D41" i="1"/>
  <c r="D42" i="1"/>
  <c r="D35" i="1"/>
  <c r="D34"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2"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D14" i="2"/>
  <c r="D10" i="2"/>
  <c r="D11" i="2"/>
  <c r="D12" i="2"/>
  <c r="D13" i="2"/>
  <c r="D3" i="2"/>
  <c r="D4" i="2"/>
  <c r="D5" i="2"/>
  <c r="D6" i="2"/>
  <c r="D7" i="2"/>
  <c r="D8" i="2"/>
  <c r="D9" i="2"/>
  <c r="D2" i="2"/>
  <c r="C13" i="2" l="1"/>
  <c r="C12" i="2"/>
  <c r="C11" i="2"/>
  <c r="E2" i="1"/>
  <c r="C10" i="2"/>
  <c r="C9" i="2"/>
  <c r="C8" i="2"/>
  <c r="C7" i="2"/>
  <c r="C6" i="2"/>
  <c r="C5" i="2"/>
  <c r="C4" i="2"/>
  <c r="C3" i="2"/>
  <c r="C2" i="2"/>
  <c r="E29" i="1"/>
  <c r="E28" i="1"/>
  <c r="E27" i="1"/>
  <c r="E26" i="1"/>
  <c r="E25" i="1"/>
  <c r="E24" i="1"/>
  <c r="E23" i="1"/>
  <c r="E22" i="1"/>
  <c r="E21" i="1"/>
  <c r="E20" i="1"/>
  <c r="E19" i="1"/>
  <c r="E18" i="1"/>
  <c r="E17" i="1"/>
  <c r="E16" i="1"/>
  <c r="E15" i="1"/>
  <c r="E14" i="1"/>
  <c r="E13" i="1"/>
  <c r="E12" i="1"/>
  <c r="E11" i="1"/>
  <c r="E10" i="1"/>
  <c r="E9" i="1"/>
  <c r="E8" i="1"/>
  <c r="E7" i="1"/>
  <c r="E6" i="1"/>
  <c r="E5" i="1"/>
  <c r="E4" i="1"/>
  <c r="E3" i="1"/>
</calcChain>
</file>

<file path=xl/sharedStrings.xml><?xml version="1.0" encoding="utf-8"?>
<sst xmlns="http://schemas.openxmlformats.org/spreadsheetml/2006/main" count="187" uniqueCount="124">
  <si>
    <t>ID</t>
  </si>
  <si>
    <t>Nombre</t>
  </si>
  <si>
    <t>Gramaje Total (g)</t>
  </si>
  <si>
    <t>Cera (g)</t>
  </si>
  <si>
    <t>% Cera</t>
  </si>
  <si>
    <t>Fragancia (g)</t>
  </si>
  <si>
    <t>% Fragancia</t>
  </si>
  <si>
    <t>Aditivo (g)</t>
  </si>
  <si>
    <t>% Aditivo</t>
  </si>
  <si>
    <t>Precio Venta ($)</t>
  </si>
  <si>
    <t>Costo Insumos ($)</t>
  </si>
  <si>
    <t>Parámetro</t>
  </si>
  <si>
    <t>Valor</t>
  </si>
  <si>
    <t>Sagrada Fam</t>
  </si>
  <si>
    <t>Cera Malasia $/g</t>
  </si>
  <si>
    <t>Flor 1</t>
  </si>
  <si>
    <t>Cera Soya $/g</t>
  </si>
  <si>
    <t>Flor 2 (base circular)</t>
  </si>
  <si>
    <t>Fragancia $/g</t>
  </si>
  <si>
    <t>Tulipán</t>
  </si>
  <si>
    <t>Peonía cempasuchil blanca</t>
  </si>
  <si>
    <t>Flor 3 (cilindro)</t>
  </si>
  <si>
    <t>Pabilo</t>
  </si>
  <si>
    <t>Rosa</t>
  </si>
  <si>
    <t>Flor plana</t>
  </si>
  <si>
    <t>Nube grande</t>
  </si>
  <si>
    <t>Esqueleto</t>
  </si>
  <si>
    <t>Manos rezando</t>
  </si>
  <si>
    <t>Bulldog</t>
  </si>
  <si>
    <t>Fantasma moño</t>
  </si>
  <si>
    <t>Busto ojos</t>
  </si>
  <si>
    <t>Vela fantasma</t>
  </si>
  <si>
    <t>Gato fantasma</t>
  </si>
  <si>
    <t>Fantasma grande</t>
  </si>
  <si>
    <t>Perro fantasma</t>
  </si>
  <si>
    <t>Busto ojo tapado</t>
  </si>
  <si>
    <t>Huella perro</t>
  </si>
  <si>
    <t>Gato sentado</t>
  </si>
  <si>
    <t>Gato acostado</t>
  </si>
  <si>
    <t>Virgen</t>
  </si>
  <si>
    <t>Fantasma cabeza calabaza</t>
  </si>
  <si>
    <t>Calabaza centro</t>
  </si>
  <si>
    <t>Calabaza grande</t>
  </si>
  <si>
    <t>Flor cempasúchil</t>
  </si>
  <si>
    <t>Venus</t>
  </si>
  <si>
    <t>Nombre Fragancia</t>
  </si>
  <si>
    <t>Costo por 250ml ($)</t>
  </si>
  <si>
    <t>Costo $/g</t>
  </si>
  <si>
    <t>Insumo / Concepto</t>
  </si>
  <si>
    <t>Tipo / Categoría</t>
  </si>
  <si>
    <t>Cantidad (Gramos)</t>
  </si>
  <si>
    <t>Cantidad (Kilogramos / Litros)</t>
  </si>
  <si>
    <t>Presentación / Botellas</t>
  </si>
  <si>
    <t>Notas</t>
  </si>
  <si>
    <t>Cera Malasia</t>
  </si>
  <si>
    <t>Cera para Moldes</t>
  </si>
  <si>
    <t>A granel (kg)</t>
  </si>
  <si>
    <t>Cera base para todos los moldes</t>
  </si>
  <si>
    <t>Cera de Soya</t>
  </si>
  <si>
    <t>Cera para Bouquets</t>
  </si>
  <si>
    <t>Cera para arreglos florales</t>
  </si>
  <si>
    <t>--- FRAGANCIAS EN STOCK ---</t>
  </si>
  <si>
    <t>---</t>
  </si>
  <si>
    <t>Fragancia Concentrada</t>
  </si>
  <si>
    <t>0x 250ml | 0x 500ml | 0x 1L</t>
  </si>
  <si>
    <t>Aroma para velas</t>
  </si>
  <si>
    <t>--- INSUMOS MENORES FIJOS ---</t>
  </si>
  <si>
    <t>Aditivos, Pabilos y Colorantes</t>
  </si>
  <si>
    <t>Gasto Operativo Mensual</t>
  </si>
  <si>
    <t>-</t>
  </si>
  <si>
    <t>Restock Continuo</t>
  </si>
  <si>
    <t>Considerado como costo operativo mensual de taller no significativo</t>
  </si>
  <si>
    <t>Virgencita plis</t>
  </si>
  <si>
    <t>Peonía Grande</t>
  </si>
  <si>
    <t>Galleta Jengibre chico</t>
  </si>
  <si>
    <t>Vela Bola</t>
  </si>
  <si>
    <t>Perro rosas</t>
  </si>
  <si>
    <t>Dinosaurio</t>
  </si>
  <si>
    <t>Piña</t>
  </si>
  <si>
    <t>Reno 3D</t>
  </si>
  <si>
    <t>Princess</t>
  </si>
  <si>
    <t>Astronauta</t>
  </si>
  <si>
    <t>Ángel pequeño</t>
  </si>
  <si>
    <t>Perro Pudle</t>
  </si>
  <si>
    <t>Corazón</t>
  </si>
  <si>
    <t>Galleta Jengibre grande</t>
  </si>
  <si>
    <t>Ángel grande</t>
  </si>
  <si>
    <t>Margarita</t>
  </si>
  <si>
    <t>Moño</t>
  </si>
  <si>
    <t>Noche Buena</t>
  </si>
  <si>
    <t>Pino ancho</t>
  </si>
  <si>
    <t>Pretzel</t>
  </si>
  <si>
    <t>Concha Mediana</t>
  </si>
  <si>
    <t>Oso pequeño</t>
  </si>
  <si>
    <t>Flor Chica plana 1</t>
  </si>
  <si>
    <t>Flor Chica plana 2</t>
  </si>
  <si>
    <t>Flor Chica plana 3</t>
  </si>
  <si>
    <t>Cactus brazos</t>
  </si>
  <si>
    <t>Cactus bola</t>
  </si>
  <si>
    <t>Cactus flor pequeña</t>
  </si>
  <si>
    <t>Cactus cilindro</t>
  </si>
  <si>
    <t>Cactus bolita chica</t>
  </si>
  <si>
    <t>Cactus estrella</t>
  </si>
  <si>
    <t>Cactus medusa</t>
  </si>
  <si>
    <t>Cactus flor</t>
  </si>
  <si>
    <t>Cactus media medusa</t>
  </si>
  <si>
    <t>Nube mediana</t>
  </si>
  <si>
    <t>Nube chica</t>
  </si>
  <si>
    <t>Pino largo</t>
  </si>
  <si>
    <t>Mar(conchas)</t>
  </si>
  <si>
    <t>Tentación</t>
  </si>
  <si>
    <t>Suspiro de amor</t>
  </si>
  <si>
    <t>Arena sol y mar</t>
  </si>
  <si>
    <t>Calabaza &amp; Spicy</t>
  </si>
  <si>
    <t>Mandarina</t>
  </si>
  <si>
    <t>Sandía</t>
  </si>
  <si>
    <t>Rompope</t>
  </si>
  <si>
    <t>Mar Fresco</t>
  </si>
  <si>
    <t>Grosella</t>
  </si>
  <si>
    <t>Chocolate</t>
  </si>
  <si>
    <t>Café</t>
  </si>
  <si>
    <t>Brisa Frescura Herb</t>
  </si>
  <si>
    <t>Flor de Cempazuchitl</t>
  </si>
  <si>
    <t>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</si>
</sst>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rgb="FFDDDDDD"/>
      </left>
      <right style="thin">
        <color rgb="FFDDDDDD"/>
      </right>
      <top style="thin">
        <color rgb="FFDDDDDD"/>
      </top>
      <bottom style="thin">
        <color rgb="FFDDDDDD"/>
      </bottom>
      <diagonal/>
    </border>
  </borders>
  <cellStyleXfs count="2">
    <xf numFmtId="0" fontId="0" fillId="0" borderId="0"/>
    <xf numFmtId="0" fontId="1" fillId="0" borderId="0"/>
  </cellStyleXfs>
  <cellXfs count="3">
    <xf numFmtId="0" fontId="0" fillId="0" borderId="0" xfId="0"/>
    <xf numFmtId="0" fontId="0" fillId="0" borderId="0" xfId="0" applyAlignment="1">
      <alignment wrapText="1"/>
    </xf>
    <xf numFmtId="0" fontId="0" fillId="0" borderId="1" xfId="0" applyBorder="1"/>
  </cellXfs>
  <cellStyles count="2">
    <cellStyle name="Normal" xfId="0" builtinId="0"/>
    <cellStyle name="Normal 2" xfId="1" xr:uid="{0F979E86-8DEB-4906-8854-95C429DD9723}"/>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M67"/>
  <sheetViews>
    <sheetView tabSelected="1" topLeftCell="A54" zoomScale="94" workbookViewId="0">
      <selection activeCell="L65" sqref="L65"/>
    </sheetView>
  </sheetViews>
  <sheetFormatPr baseColWidth="10" defaultRowHeight="15.5" x14ac:dyDescent="0.35"/>
  <cols>
    <col min="2" max="2" width="20.33203125" customWidth="1"/>
    <col min="3" max="3" width="12.4140625" customWidth="1"/>
    <col min="4" max="4" width="14.4140625" customWidth="1"/>
    <col min="5" max="5" width="9" customWidth="1"/>
    <col min="6" max="6" width="11.6640625" customWidth="1"/>
    <col min="7" max="7" width="10.4140625" customWidth="1"/>
    <col min="8" max="8" width="11.5" customWidth="1"/>
    <col min="9" max="9" width="5.83203125" customWidth="1"/>
    <col min="11" max="11" width="15.75" customWidth="1"/>
    <col min="12" max="12" width="15.0820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v>
      </c>
      <c r="B2" t="s">
        <v>13</v>
      </c>
      <c r="C2">
        <v>85</v>
      </c>
      <c r="D2">
        <v>76.5</v>
      </c>
      <c r="E2">
        <f t="shared" ref="E2:E29" si="0">1-G2-I2</f>
        <v>0.9</v>
      </c>
      <c r="F2">
        <f t="shared" ref="F2:F27" si="1">0.08*C2</f>
        <v>6.8</v>
      </c>
      <c r="G2">
        <v>0.08</v>
      </c>
      <c r="H2">
        <f>0.02*C2</f>
        <v>1.7</v>
      </c>
      <c r="I2">
        <v>0.02</v>
      </c>
      <c r="J2">
        <v>85</v>
      </c>
      <c r="K2">
        <v>9.4600000000000009</v>
      </c>
      <c r="L2" t="s">
        <v>14</v>
      </c>
      <c r="M2">
        <v>0.11</v>
      </c>
    </row>
    <row r="3" spans="1:13" x14ac:dyDescent="0.35">
      <c r="A3">
        <v>2</v>
      </c>
      <c r="B3" t="s">
        <v>15</v>
      </c>
      <c r="C3">
        <v>22</v>
      </c>
      <c r="D3">
        <v>19.8</v>
      </c>
      <c r="E3">
        <f t="shared" si="0"/>
        <v>0.9</v>
      </c>
      <c r="F3">
        <f t="shared" si="1"/>
        <v>1.76</v>
      </c>
      <c r="G3">
        <v>0.08</v>
      </c>
      <c r="H3">
        <f t="shared" ref="H3:H66" si="2">0.02*C3</f>
        <v>0.44</v>
      </c>
      <c r="I3">
        <v>0.02</v>
      </c>
      <c r="J3">
        <v>25</v>
      </c>
      <c r="K3">
        <v>2.82</v>
      </c>
      <c r="L3" t="s">
        <v>16</v>
      </c>
      <c r="M3">
        <v>0.14000000000000001</v>
      </c>
    </row>
    <row r="4" spans="1:13" x14ac:dyDescent="0.35">
      <c r="A4">
        <v>3</v>
      </c>
      <c r="B4" t="s">
        <v>17</v>
      </c>
      <c r="C4">
        <v>22</v>
      </c>
      <c r="D4">
        <v>19.8</v>
      </c>
      <c r="E4">
        <f t="shared" si="0"/>
        <v>0.9</v>
      </c>
      <c r="F4">
        <f t="shared" si="1"/>
        <v>1.76</v>
      </c>
      <c r="G4">
        <v>0.08</v>
      </c>
      <c r="H4">
        <f t="shared" si="2"/>
        <v>0.44</v>
      </c>
      <c r="I4">
        <v>0.02</v>
      </c>
      <c r="J4">
        <v>25</v>
      </c>
      <c r="K4">
        <v>2.82</v>
      </c>
      <c r="L4" t="s">
        <v>18</v>
      </c>
      <c r="M4">
        <v>0.08</v>
      </c>
    </row>
    <row r="5" spans="1:13" x14ac:dyDescent="0.35">
      <c r="A5">
        <v>4</v>
      </c>
      <c r="B5" t="s">
        <v>19</v>
      </c>
      <c r="C5">
        <v>28</v>
      </c>
      <c r="D5">
        <v>25.2</v>
      </c>
      <c r="E5">
        <f t="shared" si="0"/>
        <v>0.9</v>
      </c>
      <c r="F5">
        <f t="shared" si="1"/>
        <v>2.2400000000000002</v>
      </c>
      <c r="G5">
        <v>0.08</v>
      </c>
      <c r="H5">
        <f t="shared" si="2"/>
        <v>0.56000000000000005</v>
      </c>
      <c r="I5">
        <v>0.02</v>
      </c>
      <c r="J5">
        <v>35</v>
      </c>
      <c r="K5">
        <v>3.45</v>
      </c>
      <c r="L5" t="s">
        <v>6</v>
      </c>
      <c r="M5">
        <v>0.08</v>
      </c>
    </row>
    <row r="6" spans="1:13" x14ac:dyDescent="0.35">
      <c r="A6">
        <v>5</v>
      </c>
      <c r="B6" t="s">
        <v>20</v>
      </c>
      <c r="C6">
        <v>30</v>
      </c>
      <c r="D6">
        <v>27</v>
      </c>
      <c r="E6">
        <f t="shared" si="0"/>
        <v>0.9</v>
      </c>
      <c r="F6">
        <f t="shared" si="1"/>
        <v>2.4</v>
      </c>
      <c r="G6">
        <v>0.08</v>
      </c>
      <c r="H6">
        <f t="shared" si="2"/>
        <v>0.6</v>
      </c>
      <c r="I6">
        <v>0.02</v>
      </c>
      <c r="J6">
        <v>25</v>
      </c>
      <c r="K6">
        <v>3.66</v>
      </c>
      <c r="L6" t="s">
        <v>8</v>
      </c>
      <c r="M6">
        <v>0.02</v>
      </c>
    </row>
    <row r="7" spans="1:13" x14ac:dyDescent="0.35">
      <c r="A7">
        <v>6</v>
      </c>
      <c r="B7" t="s">
        <v>21</v>
      </c>
      <c r="C7">
        <v>20</v>
      </c>
      <c r="D7">
        <v>18</v>
      </c>
      <c r="E7">
        <f t="shared" si="0"/>
        <v>0.9</v>
      </c>
      <c r="F7">
        <f t="shared" si="1"/>
        <v>1.6</v>
      </c>
      <c r="G7">
        <v>0.08</v>
      </c>
      <c r="H7">
        <f t="shared" si="2"/>
        <v>0.4</v>
      </c>
      <c r="I7">
        <v>0.02</v>
      </c>
      <c r="J7">
        <v>24</v>
      </c>
      <c r="K7">
        <v>2.61</v>
      </c>
      <c r="L7" t="s">
        <v>22</v>
      </c>
      <c r="M7">
        <v>0.5</v>
      </c>
    </row>
    <row r="8" spans="1:13" x14ac:dyDescent="0.35">
      <c r="A8">
        <v>7</v>
      </c>
      <c r="B8" t="s">
        <v>23</v>
      </c>
      <c r="C8">
        <v>25</v>
      </c>
      <c r="D8">
        <v>22.5</v>
      </c>
      <c r="E8">
        <f t="shared" si="0"/>
        <v>0.9</v>
      </c>
      <c r="F8">
        <f t="shared" si="1"/>
        <v>2</v>
      </c>
      <c r="G8">
        <v>0.08</v>
      </c>
      <c r="H8">
        <f t="shared" si="2"/>
        <v>0.5</v>
      </c>
      <c r="I8">
        <v>0.02</v>
      </c>
      <c r="J8">
        <v>25</v>
      </c>
      <c r="K8">
        <v>3.14</v>
      </c>
    </row>
    <row r="9" spans="1:13" x14ac:dyDescent="0.35">
      <c r="A9">
        <v>8</v>
      </c>
      <c r="B9" t="s">
        <v>24</v>
      </c>
      <c r="C9">
        <v>32</v>
      </c>
      <c r="D9">
        <v>28.8</v>
      </c>
      <c r="E9">
        <f t="shared" si="0"/>
        <v>0.9</v>
      </c>
      <c r="F9">
        <f t="shared" si="1"/>
        <v>2.56</v>
      </c>
      <c r="G9">
        <v>0.08</v>
      </c>
      <c r="H9">
        <f t="shared" si="2"/>
        <v>0.64</v>
      </c>
      <c r="I9">
        <v>0.02</v>
      </c>
      <c r="J9">
        <v>50</v>
      </c>
      <c r="K9">
        <v>3.87</v>
      </c>
    </row>
    <row r="10" spans="1:13" x14ac:dyDescent="0.35">
      <c r="A10">
        <v>9</v>
      </c>
      <c r="B10" t="s">
        <v>25</v>
      </c>
      <c r="C10">
        <v>93</v>
      </c>
      <c r="D10">
        <v>83.7</v>
      </c>
      <c r="E10">
        <f t="shared" si="0"/>
        <v>0.9</v>
      </c>
      <c r="F10">
        <f t="shared" si="1"/>
        <v>7.44</v>
      </c>
      <c r="G10">
        <v>0.08</v>
      </c>
      <c r="H10">
        <f t="shared" si="2"/>
        <v>1.86</v>
      </c>
      <c r="I10">
        <v>0.02</v>
      </c>
      <c r="J10">
        <v>80</v>
      </c>
      <c r="K10">
        <v>10.3</v>
      </c>
    </row>
    <row r="11" spans="1:13" x14ac:dyDescent="0.35">
      <c r="A11">
        <v>10</v>
      </c>
      <c r="B11" t="s">
        <v>26</v>
      </c>
      <c r="C11">
        <v>19</v>
      </c>
      <c r="D11">
        <v>17.100000000000001</v>
      </c>
      <c r="E11">
        <f t="shared" si="0"/>
        <v>0.9</v>
      </c>
      <c r="F11">
        <f t="shared" si="1"/>
        <v>1.52</v>
      </c>
      <c r="G11">
        <v>0.08</v>
      </c>
      <c r="H11">
        <f t="shared" si="2"/>
        <v>0.38</v>
      </c>
      <c r="I11">
        <v>0.02</v>
      </c>
      <c r="J11">
        <v>30</v>
      </c>
      <c r="K11">
        <v>2.5</v>
      </c>
    </row>
    <row r="12" spans="1:13" x14ac:dyDescent="0.35">
      <c r="A12">
        <v>11</v>
      </c>
      <c r="B12" t="s">
        <v>27</v>
      </c>
      <c r="C12">
        <v>62</v>
      </c>
      <c r="D12">
        <v>55.8</v>
      </c>
      <c r="E12">
        <f t="shared" si="0"/>
        <v>0.9</v>
      </c>
      <c r="F12">
        <f t="shared" si="1"/>
        <v>4.96</v>
      </c>
      <c r="G12">
        <v>0.08</v>
      </c>
      <c r="H12">
        <f t="shared" si="2"/>
        <v>1.24</v>
      </c>
      <c r="I12">
        <v>0.02</v>
      </c>
      <c r="J12">
        <v>65</v>
      </c>
      <c r="K12">
        <v>7.03</v>
      </c>
    </row>
    <row r="13" spans="1:13" x14ac:dyDescent="0.35">
      <c r="A13">
        <v>12</v>
      </c>
      <c r="B13" t="s">
        <v>28</v>
      </c>
      <c r="C13">
        <v>62</v>
      </c>
      <c r="D13">
        <v>55.8</v>
      </c>
      <c r="E13">
        <f t="shared" si="0"/>
        <v>0.9</v>
      </c>
      <c r="F13">
        <f t="shared" si="1"/>
        <v>4.96</v>
      </c>
      <c r="G13">
        <v>0.08</v>
      </c>
      <c r="H13">
        <f t="shared" si="2"/>
        <v>1.24</v>
      </c>
      <c r="I13">
        <v>0.02</v>
      </c>
      <c r="J13">
        <v>60</v>
      </c>
      <c r="K13">
        <v>7.03</v>
      </c>
    </row>
    <row r="14" spans="1:13" x14ac:dyDescent="0.35">
      <c r="A14">
        <v>13</v>
      </c>
      <c r="B14" t="s">
        <v>29</v>
      </c>
      <c r="C14">
        <v>79</v>
      </c>
      <c r="D14">
        <v>71.099999999999994</v>
      </c>
      <c r="E14">
        <f t="shared" si="0"/>
        <v>0.9</v>
      </c>
      <c r="F14">
        <f t="shared" si="1"/>
        <v>6.32</v>
      </c>
      <c r="G14">
        <v>0.08</v>
      </c>
      <c r="H14">
        <f t="shared" si="2"/>
        <v>1.58</v>
      </c>
      <c r="I14">
        <v>0.02</v>
      </c>
      <c r="J14">
        <v>90</v>
      </c>
      <c r="K14">
        <v>8.83</v>
      </c>
    </row>
    <row r="15" spans="1:13" x14ac:dyDescent="0.35">
      <c r="A15">
        <v>14</v>
      </c>
      <c r="B15" t="s">
        <v>30</v>
      </c>
      <c r="C15">
        <v>146</v>
      </c>
      <c r="D15">
        <v>131.4</v>
      </c>
      <c r="E15">
        <f t="shared" si="0"/>
        <v>0.9</v>
      </c>
      <c r="F15">
        <f t="shared" si="1"/>
        <v>11.68</v>
      </c>
      <c r="G15">
        <v>0.08</v>
      </c>
      <c r="H15">
        <f t="shared" si="2"/>
        <v>2.92</v>
      </c>
      <c r="I15">
        <v>0.02</v>
      </c>
      <c r="J15">
        <v>150</v>
      </c>
      <c r="K15">
        <v>15.89</v>
      </c>
    </row>
    <row r="16" spans="1:13" x14ac:dyDescent="0.35">
      <c r="A16">
        <v>15</v>
      </c>
      <c r="B16" t="s">
        <v>31</v>
      </c>
      <c r="C16">
        <v>70</v>
      </c>
      <c r="D16">
        <v>63</v>
      </c>
      <c r="E16">
        <f t="shared" si="0"/>
        <v>0.9</v>
      </c>
      <c r="F16">
        <f t="shared" si="1"/>
        <v>5.6000000000000005</v>
      </c>
      <c r="G16">
        <v>0.08</v>
      </c>
      <c r="H16">
        <f t="shared" si="2"/>
        <v>1.4000000000000001</v>
      </c>
      <c r="I16">
        <v>0.02</v>
      </c>
      <c r="J16">
        <v>95</v>
      </c>
      <c r="K16">
        <v>7.88</v>
      </c>
    </row>
    <row r="17" spans="1:11" x14ac:dyDescent="0.35">
      <c r="A17">
        <v>16</v>
      </c>
      <c r="B17" t="s">
        <v>32</v>
      </c>
      <c r="C17">
        <v>39</v>
      </c>
      <c r="D17">
        <v>35.1</v>
      </c>
      <c r="E17">
        <f t="shared" si="0"/>
        <v>0.9</v>
      </c>
      <c r="F17">
        <f t="shared" si="1"/>
        <v>3.12</v>
      </c>
      <c r="G17">
        <v>0.08</v>
      </c>
      <c r="H17">
        <f t="shared" si="2"/>
        <v>0.78</v>
      </c>
      <c r="I17">
        <v>0.02</v>
      </c>
      <c r="J17">
        <v>50</v>
      </c>
      <c r="K17">
        <v>4.6100000000000003</v>
      </c>
    </row>
    <row r="18" spans="1:11" x14ac:dyDescent="0.35">
      <c r="A18">
        <v>17</v>
      </c>
      <c r="B18" t="s">
        <v>33</v>
      </c>
      <c r="C18">
        <v>138</v>
      </c>
      <c r="D18">
        <v>124.2</v>
      </c>
      <c r="E18">
        <f t="shared" si="0"/>
        <v>0.9</v>
      </c>
      <c r="F18">
        <f t="shared" si="1"/>
        <v>11.040000000000001</v>
      </c>
      <c r="G18">
        <v>0.08</v>
      </c>
      <c r="H18">
        <f t="shared" si="2"/>
        <v>2.7600000000000002</v>
      </c>
      <c r="I18">
        <v>0.02</v>
      </c>
      <c r="J18">
        <v>120</v>
      </c>
      <c r="K18">
        <v>15.05</v>
      </c>
    </row>
    <row r="19" spans="1:11" x14ac:dyDescent="0.35">
      <c r="A19">
        <v>18</v>
      </c>
      <c r="B19" t="s">
        <v>34</v>
      </c>
      <c r="C19">
        <v>46</v>
      </c>
      <c r="D19">
        <v>41.4</v>
      </c>
      <c r="E19">
        <f t="shared" si="0"/>
        <v>0.9</v>
      </c>
      <c r="F19">
        <f t="shared" si="1"/>
        <v>3.68</v>
      </c>
      <c r="G19">
        <v>0.08</v>
      </c>
      <c r="H19">
        <f t="shared" si="2"/>
        <v>0.92</v>
      </c>
      <c r="I19">
        <v>0.02</v>
      </c>
      <c r="J19">
        <v>50</v>
      </c>
      <c r="K19">
        <v>5.35</v>
      </c>
    </row>
    <row r="20" spans="1:11" x14ac:dyDescent="0.35">
      <c r="A20">
        <v>19</v>
      </c>
      <c r="B20" t="s">
        <v>35</v>
      </c>
      <c r="C20">
        <v>108</v>
      </c>
      <c r="D20">
        <v>97.2</v>
      </c>
      <c r="E20">
        <f t="shared" si="0"/>
        <v>0.9</v>
      </c>
      <c r="F20">
        <f t="shared" si="1"/>
        <v>8.64</v>
      </c>
      <c r="G20">
        <v>0.08</v>
      </c>
      <c r="H20">
        <f t="shared" si="2"/>
        <v>2.16</v>
      </c>
      <c r="I20">
        <v>0.02</v>
      </c>
      <c r="J20">
        <v>150</v>
      </c>
      <c r="K20">
        <v>11.88</v>
      </c>
    </row>
    <row r="21" spans="1:11" x14ac:dyDescent="0.35">
      <c r="A21">
        <v>20</v>
      </c>
      <c r="B21" t="s">
        <v>36</v>
      </c>
      <c r="C21">
        <v>35</v>
      </c>
      <c r="D21">
        <v>31.5</v>
      </c>
      <c r="E21">
        <f t="shared" si="0"/>
        <v>0.9</v>
      </c>
      <c r="F21">
        <f t="shared" si="1"/>
        <v>2.8000000000000003</v>
      </c>
      <c r="G21">
        <v>0.08</v>
      </c>
      <c r="H21">
        <f t="shared" si="2"/>
        <v>0.70000000000000007</v>
      </c>
      <c r="I21">
        <v>0.02</v>
      </c>
      <c r="J21">
        <v>45</v>
      </c>
      <c r="K21">
        <v>4.1900000000000004</v>
      </c>
    </row>
    <row r="22" spans="1:11" x14ac:dyDescent="0.35">
      <c r="A22">
        <v>21</v>
      </c>
      <c r="B22" t="s">
        <v>37</v>
      </c>
      <c r="C22">
        <v>33</v>
      </c>
      <c r="D22">
        <v>29.7</v>
      </c>
      <c r="E22">
        <f t="shared" si="0"/>
        <v>0.9</v>
      </c>
      <c r="F22">
        <f t="shared" si="1"/>
        <v>2.64</v>
      </c>
      <c r="G22">
        <v>0.08</v>
      </c>
      <c r="H22">
        <f t="shared" si="2"/>
        <v>0.66</v>
      </c>
      <c r="I22">
        <v>0.02</v>
      </c>
      <c r="J22">
        <v>45</v>
      </c>
      <c r="K22">
        <v>3.98</v>
      </c>
    </row>
    <row r="23" spans="1:11" x14ac:dyDescent="0.35">
      <c r="A23">
        <v>22</v>
      </c>
      <c r="B23" t="s">
        <v>38</v>
      </c>
      <c r="C23">
        <v>39</v>
      </c>
      <c r="D23">
        <v>35.1</v>
      </c>
      <c r="E23">
        <f t="shared" si="0"/>
        <v>0.9</v>
      </c>
      <c r="F23">
        <f t="shared" si="1"/>
        <v>3.12</v>
      </c>
      <c r="G23">
        <v>0.08</v>
      </c>
      <c r="H23">
        <f t="shared" si="2"/>
        <v>0.78</v>
      </c>
      <c r="I23">
        <v>0.02</v>
      </c>
      <c r="J23">
        <v>45</v>
      </c>
      <c r="K23">
        <v>4.6100000000000003</v>
      </c>
    </row>
    <row r="24" spans="1:11" x14ac:dyDescent="0.35">
      <c r="A24">
        <v>23</v>
      </c>
      <c r="B24" t="s">
        <v>39</v>
      </c>
      <c r="C24">
        <v>47</v>
      </c>
      <c r="D24">
        <v>42.3</v>
      </c>
      <c r="E24">
        <f t="shared" si="0"/>
        <v>0.9</v>
      </c>
      <c r="F24">
        <f t="shared" si="1"/>
        <v>3.7600000000000002</v>
      </c>
      <c r="G24">
        <v>0.08</v>
      </c>
      <c r="H24">
        <f t="shared" si="2"/>
        <v>0.94000000000000006</v>
      </c>
      <c r="I24">
        <v>0.02</v>
      </c>
      <c r="J24">
        <v>50</v>
      </c>
      <c r="K24">
        <v>5.45</v>
      </c>
    </row>
    <row r="25" spans="1:11" x14ac:dyDescent="0.35">
      <c r="A25">
        <v>24</v>
      </c>
      <c r="B25" t="s">
        <v>40</v>
      </c>
      <c r="C25">
        <v>86</v>
      </c>
      <c r="D25">
        <v>77.400000000000006</v>
      </c>
      <c r="E25">
        <f t="shared" si="0"/>
        <v>0.9</v>
      </c>
      <c r="F25">
        <f t="shared" si="1"/>
        <v>6.88</v>
      </c>
      <c r="G25">
        <v>0.08</v>
      </c>
      <c r="H25">
        <f t="shared" si="2"/>
        <v>1.72</v>
      </c>
      <c r="I25">
        <v>0.02</v>
      </c>
      <c r="J25">
        <v>100</v>
      </c>
      <c r="K25">
        <v>9.56</v>
      </c>
    </row>
    <row r="26" spans="1:11" x14ac:dyDescent="0.35">
      <c r="A26">
        <v>25</v>
      </c>
      <c r="B26" t="s">
        <v>41</v>
      </c>
      <c r="C26">
        <v>44</v>
      </c>
      <c r="D26">
        <v>39.6</v>
      </c>
      <c r="E26">
        <f t="shared" si="0"/>
        <v>0.9</v>
      </c>
      <c r="F26">
        <f t="shared" si="1"/>
        <v>3.52</v>
      </c>
      <c r="G26">
        <v>0.08</v>
      </c>
      <c r="H26">
        <f t="shared" si="2"/>
        <v>0.88</v>
      </c>
      <c r="I26">
        <v>0.02</v>
      </c>
      <c r="J26">
        <v>50</v>
      </c>
      <c r="K26">
        <v>5.14</v>
      </c>
    </row>
    <row r="27" spans="1:11" x14ac:dyDescent="0.35">
      <c r="A27">
        <v>26</v>
      </c>
      <c r="B27" t="s">
        <v>42</v>
      </c>
      <c r="C27">
        <v>76</v>
      </c>
      <c r="D27">
        <v>68.400000000000006</v>
      </c>
      <c r="E27">
        <f t="shared" si="0"/>
        <v>0.9</v>
      </c>
      <c r="F27">
        <f t="shared" si="1"/>
        <v>6.08</v>
      </c>
      <c r="G27">
        <v>0.08</v>
      </c>
      <c r="H27">
        <f t="shared" si="2"/>
        <v>1.52</v>
      </c>
      <c r="I27">
        <v>0.02</v>
      </c>
      <c r="J27">
        <v>80</v>
      </c>
      <c r="K27">
        <v>8.51</v>
      </c>
    </row>
    <row r="28" spans="1:11" x14ac:dyDescent="0.35">
      <c r="A28">
        <v>27</v>
      </c>
      <c r="B28" t="s">
        <v>43</v>
      </c>
      <c r="C28">
        <v>22</v>
      </c>
      <c r="D28">
        <v>19.8</v>
      </c>
      <c r="E28">
        <f t="shared" si="0"/>
        <v>0.9</v>
      </c>
      <c r="F28">
        <f t="shared" ref="F28:F29" si="3">0.08*C28</f>
        <v>1.76</v>
      </c>
      <c r="G28">
        <v>0.08</v>
      </c>
      <c r="H28">
        <f t="shared" si="2"/>
        <v>0.44</v>
      </c>
      <c r="I28">
        <v>0.02</v>
      </c>
      <c r="J28">
        <v>20</v>
      </c>
      <c r="K28">
        <v>2.82</v>
      </c>
    </row>
    <row r="29" spans="1:11" x14ac:dyDescent="0.35">
      <c r="A29">
        <v>28</v>
      </c>
      <c r="B29" t="s">
        <v>44</v>
      </c>
      <c r="C29">
        <v>60</v>
      </c>
      <c r="D29">
        <v>54</v>
      </c>
      <c r="E29">
        <f t="shared" si="0"/>
        <v>0.9</v>
      </c>
      <c r="F29">
        <f t="shared" si="3"/>
        <v>4.8</v>
      </c>
      <c r="G29">
        <v>0.08</v>
      </c>
      <c r="H29">
        <f t="shared" si="2"/>
        <v>1.2</v>
      </c>
      <c r="I29">
        <v>0.02</v>
      </c>
      <c r="J29">
        <v>60</v>
      </c>
      <c r="K29">
        <v>5.77</v>
      </c>
    </row>
    <row r="30" spans="1:11" x14ac:dyDescent="0.35">
      <c r="A30">
        <v>29</v>
      </c>
      <c r="B30" t="s">
        <v>72</v>
      </c>
      <c r="C30">
        <v>72</v>
      </c>
      <c r="D30">
        <v>64.8</v>
      </c>
      <c r="E30">
        <f t="shared" ref="E30:E67" si="4">1-G30-I30</f>
        <v>0.9</v>
      </c>
      <c r="F30">
        <f>0.08*C30</f>
        <v>5.76</v>
      </c>
      <c r="G30">
        <v>0.08</v>
      </c>
      <c r="H30">
        <f t="shared" si="2"/>
        <v>1.44</v>
      </c>
      <c r="I30">
        <v>0.02</v>
      </c>
      <c r="J30">
        <v>50</v>
      </c>
      <c r="K30" s="2">
        <v>8.09</v>
      </c>
    </row>
    <row r="31" spans="1:11" x14ac:dyDescent="0.35">
      <c r="A31">
        <v>30</v>
      </c>
      <c r="B31" t="s">
        <v>73</v>
      </c>
      <c r="C31">
        <v>88</v>
      </c>
      <c r="D31">
        <v>79.2</v>
      </c>
      <c r="E31">
        <f t="shared" si="4"/>
        <v>0.9</v>
      </c>
      <c r="F31">
        <f>0.08*C31</f>
        <v>7.04</v>
      </c>
      <c r="G31">
        <v>0.08</v>
      </c>
      <c r="H31">
        <f t="shared" si="2"/>
        <v>1.76</v>
      </c>
      <c r="I31">
        <v>0.02</v>
      </c>
      <c r="J31" t="s">
        <v>123</v>
      </c>
      <c r="K31" s="2">
        <v>9.7799999999999994</v>
      </c>
    </row>
    <row r="32" spans="1:11" x14ac:dyDescent="0.35">
      <c r="A32">
        <v>31</v>
      </c>
      <c r="B32" t="s">
        <v>74</v>
      </c>
      <c r="C32">
        <v>42</v>
      </c>
      <c r="D32">
        <v>37.799999999999997</v>
      </c>
      <c r="E32">
        <f t="shared" si="4"/>
        <v>0.9</v>
      </c>
      <c r="F32">
        <f>0.08*C32</f>
        <v>3.36</v>
      </c>
      <c r="G32">
        <v>0.08</v>
      </c>
      <c r="H32">
        <f t="shared" si="2"/>
        <v>0.84</v>
      </c>
      <c r="I32">
        <v>0.02</v>
      </c>
      <c r="J32">
        <v>50</v>
      </c>
      <c r="K32" s="2">
        <v>4.93</v>
      </c>
    </row>
    <row r="33" spans="1:11" x14ac:dyDescent="0.35">
      <c r="A33">
        <v>32</v>
      </c>
      <c r="B33" t="s">
        <v>75</v>
      </c>
      <c r="C33">
        <v>203</v>
      </c>
      <c r="D33">
        <v>182.7</v>
      </c>
      <c r="E33">
        <f t="shared" si="4"/>
        <v>0.9</v>
      </c>
      <c r="F33">
        <f t="shared" ref="F33:F67" si="5">0.08*C33</f>
        <v>16.240000000000002</v>
      </c>
      <c r="G33">
        <v>0.08</v>
      </c>
      <c r="H33">
        <f t="shared" si="2"/>
        <v>4.0600000000000005</v>
      </c>
      <c r="I33">
        <v>0.02</v>
      </c>
      <c r="J33">
        <v>90</v>
      </c>
      <c r="K33" s="2">
        <v>21.9</v>
      </c>
    </row>
    <row r="34" spans="1:11" x14ac:dyDescent="0.35">
      <c r="A34">
        <v>33</v>
      </c>
      <c r="B34" t="s">
        <v>76</v>
      </c>
      <c r="C34">
        <v>69</v>
      </c>
      <c r="D34">
        <f>0.9*C34</f>
        <v>62.1</v>
      </c>
      <c r="E34">
        <f t="shared" si="4"/>
        <v>0.9</v>
      </c>
      <c r="F34">
        <f t="shared" si="5"/>
        <v>5.5200000000000005</v>
      </c>
      <c r="G34">
        <v>0.08</v>
      </c>
      <c r="H34">
        <f t="shared" si="2"/>
        <v>1.3800000000000001</v>
      </c>
      <c r="I34">
        <v>0.02</v>
      </c>
      <c r="J34">
        <v>55</v>
      </c>
      <c r="K34" s="2">
        <v>7.77</v>
      </c>
    </row>
    <row r="35" spans="1:11" x14ac:dyDescent="0.35">
      <c r="A35">
        <v>34</v>
      </c>
      <c r="B35" t="s">
        <v>77</v>
      </c>
      <c r="C35">
        <v>72</v>
      </c>
      <c r="D35">
        <f>0.9*C35</f>
        <v>64.8</v>
      </c>
      <c r="E35">
        <f t="shared" si="4"/>
        <v>0.9</v>
      </c>
      <c r="F35">
        <f t="shared" si="5"/>
        <v>5.76</v>
      </c>
      <c r="G35">
        <v>0.08</v>
      </c>
      <c r="H35">
        <f t="shared" si="2"/>
        <v>1.44</v>
      </c>
      <c r="I35">
        <v>0.02</v>
      </c>
      <c r="J35">
        <v>60</v>
      </c>
      <c r="K35" s="2">
        <v>8.09</v>
      </c>
    </row>
    <row r="36" spans="1:11" x14ac:dyDescent="0.35">
      <c r="A36">
        <v>35</v>
      </c>
      <c r="B36" t="s">
        <v>78</v>
      </c>
      <c r="C36">
        <v>138</v>
      </c>
      <c r="D36">
        <f t="shared" ref="D36:D66" si="6">0.9*C36</f>
        <v>124.2</v>
      </c>
      <c r="E36">
        <f t="shared" si="4"/>
        <v>0.9</v>
      </c>
      <c r="F36">
        <f t="shared" si="5"/>
        <v>11.040000000000001</v>
      </c>
      <c r="G36">
        <v>0.08</v>
      </c>
      <c r="H36">
        <f t="shared" si="2"/>
        <v>2.7600000000000002</v>
      </c>
      <c r="I36">
        <v>0.02</v>
      </c>
      <c r="J36">
        <v>120</v>
      </c>
      <c r="K36" s="2">
        <v>15.05</v>
      </c>
    </row>
    <row r="37" spans="1:11" x14ac:dyDescent="0.35">
      <c r="A37">
        <v>36</v>
      </c>
      <c r="B37" t="s">
        <v>79</v>
      </c>
      <c r="C37">
        <v>165</v>
      </c>
      <c r="D37">
        <f t="shared" si="6"/>
        <v>148.5</v>
      </c>
      <c r="E37">
        <f t="shared" si="4"/>
        <v>0.9</v>
      </c>
      <c r="F37">
        <f t="shared" si="5"/>
        <v>13.200000000000001</v>
      </c>
      <c r="G37">
        <v>0.08</v>
      </c>
      <c r="H37">
        <f t="shared" si="2"/>
        <v>3.3000000000000003</v>
      </c>
      <c r="I37">
        <v>0.02</v>
      </c>
      <c r="J37">
        <v>100</v>
      </c>
      <c r="K37" s="2">
        <v>17.89</v>
      </c>
    </row>
    <row r="38" spans="1:11" x14ac:dyDescent="0.35">
      <c r="A38">
        <v>37</v>
      </c>
      <c r="B38" t="s">
        <v>80</v>
      </c>
      <c r="C38">
        <v>62</v>
      </c>
      <c r="D38">
        <f t="shared" si="6"/>
        <v>55.800000000000004</v>
      </c>
      <c r="E38">
        <f t="shared" si="4"/>
        <v>0.9</v>
      </c>
      <c r="F38">
        <f t="shared" si="5"/>
        <v>4.96</v>
      </c>
      <c r="G38">
        <v>0.08</v>
      </c>
      <c r="H38">
        <f t="shared" si="2"/>
        <v>1.24</v>
      </c>
      <c r="I38">
        <v>0.02</v>
      </c>
      <c r="J38">
        <v>55</v>
      </c>
      <c r="K38" s="2">
        <v>7.03</v>
      </c>
    </row>
    <row r="39" spans="1:11" x14ac:dyDescent="0.35">
      <c r="A39">
        <v>38</v>
      </c>
      <c r="B39" t="s">
        <v>81</v>
      </c>
      <c r="C39">
        <v>67</v>
      </c>
      <c r="D39">
        <f t="shared" si="6"/>
        <v>60.300000000000004</v>
      </c>
      <c r="E39">
        <f t="shared" si="4"/>
        <v>0.9</v>
      </c>
      <c r="F39">
        <f t="shared" si="5"/>
        <v>5.36</v>
      </c>
      <c r="G39">
        <v>0.08</v>
      </c>
      <c r="H39">
        <f t="shared" si="2"/>
        <v>1.34</v>
      </c>
      <c r="I39">
        <v>0.02</v>
      </c>
      <c r="J39">
        <v>70</v>
      </c>
      <c r="K39" s="2">
        <v>7.56</v>
      </c>
    </row>
    <row r="40" spans="1:11" x14ac:dyDescent="0.35">
      <c r="A40">
        <v>39</v>
      </c>
      <c r="B40" t="s">
        <v>82</v>
      </c>
      <c r="C40">
        <v>61</v>
      </c>
      <c r="D40">
        <f t="shared" si="6"/>
        <v>54.9</v>
      </c>
      <c r="E40">
        <f t="shared" si="4"/>
        <v>0.9</v>
      </c>
      <c r="F40">
        <f t="shared" si="5"/>
        <v>4.88</v>
      </c>
      <c r="G40">
        <v>0.08</v>
      </c>
      <c r="H40">
        <f t="shared" si="2"/>
        <v>1.22</v>
      </c>
      <c r="I40">
        <v>0.02</v>
      </c>
      <c r="J40">
        <v>45</v>
      </c>
      <c r="K40" s="2">
        <v>6.93</v>
      </c>
    </row>
    <row r="41" spans="1:11" x14ac:dyDescent="0.35">
      <c r="A41">
        <v>40</v>
      </c>
      <c r="B41" t="s">
        <v>83</v>
      </c>
      <c r="C41">
        <v>83</v>
      </c>
      <c r="D41">
        <f t="shared" si="6"/>
        <v>74.7</v>
      </c>
      <c r="E41">
        <f t="shared" si="4"/>
        <v>0.9</v>
      </c>
      <c r="F41">
        <f t="shared" si="5"/>
        <v>6.6400000000000006</v>
      </c>
      <c r="G41">
        <v>0.08</v>
      </c>
      <c r="H41">
        <f t="shared" si="2"/>
        <v>1.6600000000000001</v>
      </c>
      <c r="I41">
        <v>0.02</v>
      </c>
      <c r="J41">
        <v>70</v>
      </c>
      <c r="K41" s="2">
        <v>9.25</v>
      </c>
    </row>
    <row r="42" spans="1:11" x14ac:dyDescent="0.35">
      <c r="A42">
        <v>41</v>
      </c>
      <c r="B42" t="s">
        <v>84</v>
      </c>
      <c r="C42">
        <v>95</v>
      </c>
      <c r="D42">
        <f t="shared" si="6"/>
        <v>85.5</v>
      </c>
      <c r="E42">
        <f t="shared" si="4"/>
        <v>0.9</v>
      </c>
      <c r="F42">
        <f t="shared" si="5"/>
        <v>7.6000000000000005</v>
      </c>
      <c r="G42">
        <v>0.08</v>
      </c>
      <c r="H42">
        <f t="shared" si="2"/>
        <v>1.9000000000000001</v>
      </c>
      <c r="I42">
        <v>0.02</v>
      </c>
      <c r="J42">
        <v>80</v>
      </c>
      <c r="K42" s="2">
        <v>10.51</v>
      </c>
    </row>
    <row r="43" spans="1:11" x14ac:dyDescent="0.35">
      <c r="A43">
        <v>42</v>
      </c>
      <c r="B43" t="s">
        <v>85</v>
      </c>
      <c r="C43">
        <v>59</v>
      </c>
      <c r="D43">
        <f t="shared" si="6"/>
        <v>53.1</v>
      </c>
      <c r="E43">
        <f t="shared" si="4"/>
        <v>0.9</v>
      </c>
      <c r="F43">
        <f t="shared" si="5"/>
        <v>4.72</v>
      </c>
      <c r="G43">
        <v>0.08</v>
      </c>
      <c r="H43">
        <f t="shared" si="2"/>
        <v>1.18</v>
      </c>
      <c r="I43">
        <v>0.02</v>
      </c>
      <c r="J43">
        <v>60</v>
      </c>
      <c r="K43" s="2">
        <v>6.72</v>
      </c>
    </row>
    <row r="44" spans="1:11" x14ac:dyDescent="0.35">
      <c r="A44">
        <v>43</v>
      </c>
      <c r="B44" t="s">
        <v>86</v>
      </c>
      <c r="C44">
        <v>105</v>
      </c>
      <c r="D44">
        <f t="shared" si="6"/>
        <v>94.5</v>
      </c>
      <c r="E44">
        <f t="shared" si="4"/>
        <v>0.9</v>
      </c>
      <c r="F44">
        <f t="shared" si="5"/>
        <v>8.4</v>
      </c>
      <c r="G44">
        <v>0.08</v>
      </c>
      <c r="H44">
        <f t="shared" si="2"/>
        <v>2.1</v>
      </c>
      <c r="I44">
        <v>0.02</v>
      </c>
      <c r="J44">
        <v>55</v>
      </c>
      <c r="K44" s="2">
        <v>11.57</v>
      </c>
    </row>
    <row r="45" spans="1:11" x14ac:dyDescent="0.35">
      <c r="A45">
        <v>44</v>
      </c>
      <c r="B45" t="s">
        <v>87</v>
      </c>
      <c r="C45">
        <v>21</v>
      </c>
      <c r="D45">
        <f t="shared" si="6"/>
        <v>18.900000000000002</v>
      </c>
      <c r="E45">
        <f t="shared" si="4"/>
        <v>0.9</v>
      </c>
      <c r="F45">
        <f t="shared" si="5"/>
        <v>1.68</v>
      </c>
      <c r="G45">
        <v>0.08</v>
      </c>
      <c r="H45">
        <f t="shared" si="2"/>
        <v>0.42</v>
      </c>
      <c r="I45">
        <v>0.02</v>
      </c>
      <c r="J45">
        <v>25</v>
      </c>
      <c r="K45" s="2">
        <v>2.71</v>
      </c>
    </row>
    <row r="46" spans="1:11" x14ac:dyDescent="0.35">
      <c r="A46">
        <v>45</v>
      </c>
      <c r="B46" t="s">
        <v>88</v>
      </c>
      <c r="C46">
        <v>6</v>
      </c>
      <c r="D46">
        <f t="shared" si="6"/>
        <v>5.4</v>
      </c>
      <c r="E46">
        <f t="shared" si="4"/>
        <v>0.9</v>
      </c>
      <c r="F46">
        <f t="shared" si="5"/>
        <v>0.48</v>
      </c>
      <c r="G46">
        <v>0.08</v>
      </c>
      <c r="H46">
        <f t="shared" si="2"/>
        <v>0.12</v>
      </c>
      <c r="I46">
        <v>0.02</v>
      </c>
      <c r="J46">
        <v>10</v>
      </c>
      <c r="K46" s="2">
        <v>1.1299999999999999</v>
      </c>
    </row>
    <row r="47" spans="1:11" x14ac:dyDescent="0.35">
      <c r="A47">
        <v>46</v>
      </c>
      <c r="B47" t="s">
        <v>89</v>
      </c>
      <c r="C47">
        <v>13</v>
      </c>
      <c r="D47">
        <f t="shared" si="6"/>
        <v>11.700000000000001</v>
      </c>
      <c r="E47">
        <f t="shared" si="4"/>
        <v>0.9</v>
      </c>
      <c r="F47">
        <f t="shared" si="5"/>
        <v>1.04</v>
      </c>
      <c r="G47">
        <v>0.08</v>
      </c>
      <c r="H47">
        <f t="shared" si="2"/>
        <v>0.26</v>
      </c>
      <c r="I47">
        <v>0.02</v>
      </c>
      <c r="J47">
        <v>15</v>
      </c>
      <c r="K47" s="2">
        <v>1.87</v>
      </c>
    </row>
    <row r="48" spans="1:11" x14ac:dyDescent="0.35">
      <c r="A48">
        <v>47</v>
      </c>
      <c r="B48" t="s">
        <v>90</v>
      </c>
      <c r="C48">
        <v>181</v>
      </c>
      <c r="D48">
        <f t="shared" si="6"/>
        <v>162.9</v>
      </c>
      <c r="E48">
        <f t="shared" si="4"/>
        <v>0.9</v>
      </c>
      <c r="F48">
        <f t="shared" si="5"/>
        <v>14.48</v>
      </c>
      <c r="G48">
        <v>0.08</v>
      </c>
      <c r="H48">
        <f t="shared" si="2"/>
        <v>3.62</v>
      </c>
      <c r="I48">
        <v>0.02</v>
      </c>
      <c r="J48">
        <v>115</v>
      </c>
      <c r="K48" s="2">
        <v>19.579999999999998</v>
      </c>
    </row>
    <row r="49" spans="1:11" x14ac:dyDescent="0.35">
      <c r="A49">
        <v>48</v>
      </c>
      <c r="B49" t="s">
        <v>91</v>
      </c>
      <c r="C49">
        <v>8</v>
      </c>
      <c r="D49">
        <f t="shared" si="6"/>
        <v>7.2</v>
      </c>
      <c r="E49">
        <f t="shared" si="4"/>
        <v>0.9</v>
      </c>
      <c r="F49">
        <f t="shared" si="5"/>
        <v>0.64</v>
      </c>
      <c r="G49">
        <v>0.08</v>
      </c>
      <c r="H49">
        <f t="shared" si="2"/>
        <v>0.16</v>
      </c>
      <c r="I49">
        <v>0.02</v>
      </c>
      <c r="J49">
        <v>12</v>
      </c>
      <c r="K49" s="2">
        <v>1.34</v>
      </c>
    </row>
    <row r="50" spans="1:11" x14ac:dyDescent="0.35">
      <c r="A50">
        <v>49</v>
      </c>
      <c r="B50" t="s">
        <v>92</v>
      </c>
      <c r="C50">
        <v>42</v>
      </c>
      <c r="D50">
        <f t="shared" si="6"/>
        <v>37.800000000000004</v>
      </c>
      <c r="E50">
        <f t="shared" si="4"/>
        <v>0.9</v>
      </c>
      <c r="F50">
        <f t="shared" si="5"/>
        <v>3.36</v>
      </c>
      <c r="G50">
        <v>0.08</v>
      </c>
      <c r="H50">
        <f t="shared" si="2"/>
        <v>0.84</v>
      </c>
      <c r="I50">
        <v>0.02</v>
      </c>
      <c r="J50">
        <v>35</v>
      </c>
      <c r="K50" s="2">
        <v>4.93</v>
      </c>
    </row>
    <row r="51" spans="1:11" x14ac:dyDescent="0.35">
      <c r="A51">
        <v>50</v>
      </c>
      <c r="B51" t="s">
        <v>93</v>
      </c>
      <c r="C51">
        <v>20</v>
      </c>
      <c r="D51">
        <f t="shared" si="6"/>
        <v>18</v>
      </c>
      <c r="E51">
        <f t="shared" si="4"/>
        <v>0.9</v>
      </c>
      <c r="F51">
        <f t="shared" si="5"/>
        <v>1.6</v>
      </c>
      <c r="G51">
        <v>0.08</v>
      </c>
      <c r="H51">
        <f t="shared" si="2"/>
        <v>0.4</v>
      </c>
      <c r="I51">
        <v>0.02</v>
      </c>
      <c r="J51">
        <v>20</v>
      </c>
      <c r="K51" s="2">
        <v>2.61</v>
      </c>
    </row>
    <row r="52" spans="1:11" x14ac:dyDescent="0.35">
      <c r="A52">
        <v>51</v>
      </c>
      <c r="B52" t="s">
        <v>94</v>
      </c>
      <c r="C52">
        <v>3</v>
      </c>
      <c r="D52">
        <f t="shared" si="6"/>
        <v>2.7</v>
      </c>
      <c r="E52">
        <f t="shared" si="4"/>
        <v>0.9</v>
      </c>
      <c r="F52">
        <f t="shared" si="5"/>
        <v>0.24</v>
      </c>
      <c r="G52">
        <v>0.08</v>
      </c>
      <c r="H52">
        <f t="shared" si="2"/>
        <v>0.06</v>
      </c>
      <c r="I52">
        <v>0.02</v>
      </c>
      <c r="J52">
        <f t="shared" ref="J52" si="7">K52*9</f>
        <v>7.38</v>
      </c>
      <c r="K52" s="2">
        <v>0.82</v>
      </c>
    </row>
    <row r="53" spans="1:11" x14ac:dyDescent="0.35">
      <c r="A53">
        <v>52</v>
      </c>
      <c r="B53" t="s">
        <v>95</v>
      </c>
      <c r="C53">
        <v>4</v>
      </c>
      <c r="D53">
        <f t="shared" si="6"/>
        <v>3.6</v>
      </c>
      <c r="E53">
        <f t="shared" si="4"/>
        <v>0.9</v>
      </c>
      <c r="F53">
        <f t="shared" si="5"/>
        <v>0.32</v>
      </c>
      <c r="G53">
        <v>0.08</v>
      </c>
      <c r="H53">
        <f t="shared" si="2"/>
        <v>0.08</v>
      </c>
      <c r="I53">
        <v>0.02</v>
      </c>
      <c r="J53">
        <v>8</v>
      </c>
      <c r="K53" s="2">
        <v>0.92</v>
      </c>
    </row>
    <row r="54" spans="1:11" x14ac:dyDescent="0.35">
      <c r="A54">
        <v>53</v>
      </c>
      <c r="B54" t="s">
        <v>96</v>
      </c>
      <c r="C54">
        <v>6</v>
      </c>
      <c r="D54">
        <f t="shared" si="6"/>
        <v>5.4</v>
      </c>
      <c r="E54">
        <f t="shared" si="4"/>
        <v>0.9</v>
      </c>
      <c r="F54">
        <f t="shared" si="5"/>
        <v>0.48</v>
      </c>
      <c r="G54">
        <v>0.08</v>
      </c>
      <c r="H54">
        <f t="shared" si="2"/>
        <v>0.12</v>
      </c>
      <c r="I54">
        <v>0.02</v>
      </c>
      <c r="J54">
        <v>10</v>
      </c>
      <c r="K54" s="2">
        <v>1.1299999999999999</v>
      </c>
    </row>
    <row r="55" spans="1:11" x14ac:dyDescent="0.35">
      <c r="A55">
        <v>54</v>
      </c>
      <c r="B55" t="s">
        <v>97</v>
      </c>
      <c r="C55">
        <v>48</v>
      </c>
      <c r="D55">
        <f t="shared" si="6"/>
        <v>43.2</v>
      </c>
      <c r="E55">
        <f t="shared" si="4"/>
        <v>0.9</v>
      </c>
      <c r="F55">
        <f t="shared" si="5"/>
        <v>3.84</v>
      </c>
      <c r="G55">
        <v>0.08</v>
      </c>
      <c r="H55">
        <f t="shared" si="2"/>
        <v>0.96</v>
      </c>
      <c r="I55">
        <v>0.02</v>
      </c>
      <c r="J55">
        <v>45</v>
      </c>
      <c r="K55" s="2">
        <v>5.56</v>
      </c>
    </row>
    <row r="56" spans="1:11" x14ac:dyDescent="0.35">
      <c r="A56">
        <v>55</v>
      </c>
      <c r="B56" t="s">
        <v>98</v>
      </c>
      <c r="C56">
        <v>46</v>
      </c>
      <c r="D56">
        <f t="shared" si="6"/>
        <v>41.4</v>
      </c>
      <c r="E56">
        <f t="shared" si="4"/>
        <v>0.9</v>
      </c>
      <c r="F56">
        <f t="shared" si="5"/>
        <v>3.68</v>
      </c>
      <c r="G56">
        <v>0.08</v>
      </c>
      <c r="H56">
        <f t="shared" si="2"/>
        <v>0.92</v>
      </c>
      <c r="I56">
        <v>0.02</v>
      </c>
      <c r="J56">
        <v>40</v>
      </c>
      <c r="K56" s="2">
        <v>5.35</v>
      </c>
    </row>
    <row r="57" spans="1:11" x14ac:dyDescent="0.35">
      <c r="A57">
        <v>56</v>
      </c>
      <c r="B57" t="s">
        <v>99</v>
      </c>
      <c r="C57">
        <v>17</v>
      </c>
      <c r="D57">
        <f t="shared" si="6"/>
        <v>15.3</v>
      </c>
      <c r="E57">
        <f t="shared" si="4"/>
        <v>0.9</v>
      </c>
      <c r="F57">
        <f t="shared" si="5"/>
        <v>1.36</v>
      </c>
      <c r="G57">
        <v>0.08</v>
      </c>
      <c r="H57">
        <f t="shared" si="2"/>
        <v>0.34</v>
      </c>
      <c r="I57">
        <v>0.02</v>
      </c>
      <c r="J57">
        <v>15</v>
      </c>
      <c r="K57" s="2">
        <v>2.29</v>
      </c>
    </row>
    <row r="58" spans="1:11" x14ac:dyDescent="0.35">
      <c r="A58">
        <v>57</v>
      </c>
      <c r="B58" t="s">
        <v>100</v>
      </c>
      <c r="C58">
        <v>7</v>
      </c>
      <c r="D58">
        <f t="shared" si="6"/>
        <v>6.3</v>
      </c>
      <c r="E58">
        <f t="shared" si="4"/>
        <v>0.9</v>
      </c>
      <c r="F58">
        <f t="shared" si="5"/>
        <v>0.56000000000000005</v>
      </c>
      <c r="G58">
        <v>0.08</v>
      </c>
      <c r="H58">
        <f t="shared" si="2"/>
        <v>0.14000000000000001</v>
      </c>
      <c r="I58">
        <v>0.02</v>
      </c>
      <c r="J58">
        <v>10</v>
      </c>
      <c r="K58" s="2">
        <v>1.24</v>
      </c>
    </row>
    <row r="59" spans="1:11" x14ac:dyDescent="0.35">
      <c r="A59">
        <v>58</v>
      </c>
      <c r="B59" t="s">
        <v>101</v>
      </c>
      <c r="C59">
        <v>12</v>
      </c>
      <c r="D59">
        <f t="shared" si="6"/>
        <v>10.8</v>
      </c>
      <c r="E59">
        <f t="shared" si="4"/>
        <v>0.9</v>
      </c>
      <c r="F59">
        <f t="shared" si="5"/>
        <v>0.96</v>
      </c>
      <c r="G59">
        <v>0.08</v>
      </c>
      <c r="H59">
        <f t="shared" si="2"/>
        <v>0.24</v>
      </c>
      <c r="I59">
        <v>0.02</v>
      </c>
      <c r="J59">
        <v>7</v>
      </c>
      <c r="K59" s="2">
        <v>1.76</v>
      </c>
    </row>
    <row r="60" spans="1:11" x14ac:dyDescent="0.35">
      <c r="A60">
        <v>59</v>
      </c>
      <c r="B60" t="s">
        <v>102</v>
      </c>
      <c r="C60">
        <v>6</v>
      </c>
      <c r="D60">
        <f t="shared" si="6"/>
        <v>5.4</v>
      </c>
      <c r="E60">
        <f t="shared" si="4"/>
        <v>0.9</v>
      </c>
      <c r="F60">
        <f t="shared" si="5"/>
        <v>0.48</v>
      </c>
      <c r="G60">
        <v>0.08</v>
      </c>
      <c r="H60">
        <f t="shared" si="2"/>
        <v>0.12</v>
      </c>
      <c r="I60">
        <v>0.02</v>
      </c>
      <c r="J60">
        <v>10</v>
      </c>
      <c r="K60" s="2">
        <v>1.1299999999999999</v>
      </c>
    </row>
    <row r="61" spans="1:11" x14ac:dyDescent="0.35">
      <c r="A61">
        <v>60</v>
      </c>
      <c r="B61" t="s">
        <v>103</v>
      </c>
      <c r="C61">
        <v>8</v>
      </c>
      <c r="D61">
        <f t="shared" si="6"/>
        <v>7.2</v>
      </c>
      <c r="E61">
        <f t="shared" si="4"/>
        <v>0.9</v>
      </c>
      <c r="F61">
        <f t="shared" si="5"/>
        <v>0.64</v>
      </c>
      <c r="G61">
        <v>0.08</v>
      </c>
      <c r="H61">
        <f t="shared" si="2"/>
        <v>0.16</v>
      </c>
      <c r="I61">
        <v>0.02</v>
      </c>
      <c r="J61">
        <v>10</v>
      </c>
      <c r="K61" s="2">
        <v>1.34</v>
      </c>
    </row>
    <row r="62" spans="1:11" x14ac:dyDescent="0.35">
      <c r="A62">
        <v>61</v>
      </c>
      <c r="B62" t="s">
        <v>104</v>
      </c>
      <c r="C62">
        <v>4</v>
      </c>
      <c r="D62">
        <f t="shared" si="6"/>
        <v>3.6</v>
      </c>
      <c r="E62">
        <f t="shared" si="4"/>
        <v>0.9</v>
      </c>
      <c r="F62">
        <f t="shared" si="5"/>
        <v>0.32</v>
      </c>
      <c r="G62">
        <v>0.08</v>
      </c>
      <c r="H62">
        <f t="shared" si="2"/>
        <v>0.08</v>
      </c>
      <c r="I62">
        <v>0.02</v>
      </c>
      <c r="J62">
        <v>10</v>
      </c>
      <c r="K62" s="2">
        <v>0.92</v>
      </c>
    </row>
    <row r="63" spans="1:11" x14ac:dyDescent="0.35">
      <c r="A63">
        <v>62</v>
      </c>
      <c r="B63" t="s">
        <v>105</v>
      </c>
      <c r="C63">
        <v>1</v>
      </c>
      <c r="D63">
        <f t="shared" si="6"/>
        <v>0.9</v>
      </c>
      <c r="E63">
        <f t="shared" si="4"/>
        <v>0.9</v>
      </c>
      <c r="F63">
        <f t="shared" si="5"/>
        <v>0.08</v>
      </c>
      <c r="G63">
        <v>0.08</v>
      </c>
      <c r="H63">
        <f t="shared" si="2"/>
        <v>0.02</v>
      </c>
      <c r="I63">
        <v>0.02</v>
      </c>
      <c r="J63">
        <v>5</v>
      </c>
      <c r="K63" s="2">
        <v>0.61</v>
      </c>
    </row>
    <row r="64" spans="1:11" x14ac:dyDescent="0.35">
      <c r="A64">
        <v>63</v>
      </c>
      <c r="B64" t="s">
        <v>106</v>
      </c>
      <c r="C64">
        <v>46</v>
      </c>
      <c r="D64">
        <f t="shared" si="6"/>
        <v>41.4</v>
      </c>
      <c r="E64">
        <f t="shared" si="4"/>
        <v>0.9</v>
      </c>
      <c r="F64">
        <f t="shared" si="5"/>
        <v>3.68</v>
      </c>
      <c r="G64">
        <v>0.08</v>
      </c>
      <c r="H64">
        <f t="shared" si="2"/>
        <v>0.92</v>
      </c>
      <c r="I64">
        <v>0.02</v>
      </c>
      <c r="J64">
        <v>40</v>
      </c>
      <c r="K64" s="2">
        <v>5.35</v>
      </c>
    </row>
    <row r="65" spans="1:11" x14ac:dyDescent="0.35">
      <c r="A65">
        <v>64</v>
      </c>
      <c r="B65" t="s">
        <v>107</v>
      </c>
      <c r="C65">
        <v>16</v>
      </c>
      <c r="D65">
        <f t="shared" si="6"/>
        <v>14.4</v>
      </c>
      <c r="E65">
        <f t="shared" si="4"/>
        <v>0.9</v>
      </c>
      <c r="F65">
        <f t="shared" si="5"/>
        <v>1.28</v>
      </c>
      <c r="G65">
        <v>0.08</v>
      </c>
      <c r="H65">
        <f t="shared" si="2"/>
        <v>0.32</v>
      </c>
      <c r="I65">
        <v>0.02</v>
      </c>
      <c r="J65">
        <v>20</v>
      </c>
      <c r="K65" s="2">
        <v>2.19</v>
      </c>
    </row>
    <row r="66" spans="1:11" x14ac:dyDescent="0.35">
      <c r="A66">
        <v>65</v>
      </c>
      <c r="B66" t="s">
        <v>108</v>
      </c>
      <c r="C66">
        <v>124</v>
      </c>
      <c r="D66">
        <f t="shared" si="6"/>
        <v>111.60000000000001</v>
      </c>
      <c r="E66">
        <f t="shared" si="4"/>
        <v>0.9</v>
      </c>
      <c r="F66">
        <f t="shared" si="5"/>
        <v>9.92</v>
      </c>
      <c r="G66">
        <v>0.08</v>
      </c>
      <c r="H66">
        <f t="shared" si="2"/>
        <v>2.48</v>
      </c>
      <c r="I66">
        <v>0.02</v>
      </c>
      <c r="J66">
        <v>90</v>
      </c>
      <c r="K66" s="2">
        <v>13.57</v>
      </c>
    </row>
    <row r="67" spans="1:11" x14ac:dyDescent="0.35">
      <c r="A67">
        <v>66</v>
      </c>
      <c r="B67" t="s">
        <v>109</v>
      </c>
      <c r="C67">
        <v>134</v>
      </c>
      <c r="D67">
        <f>0.9*C67</f>
        <v>120.60000000000001</v>
      </c>
      <c r="E67">
        <f t="shared" si="4"/>
        <v>0.9</v>
      </c>
      <c r="F67">
        <f t="shared" si="5"/>
        <v>10.72</v>
      </c>
      <c r="G67">
        <v>0.08</v>
      </c>
      <c r="H67">
        <f t="shared" ref="H67" si="8">0.02*C67</f>
        <v>2.68</v>
      </c>
      <c r="I67">
        <v>0.02</v>
      </c>
      <c r="J67">
        <v>100</v>
      </c>
      <c r="K67" s="2">
        <v>14.62</v>
      </c>
    </row>
  </sheetData>
  <pageMargins left="0.7" right="0.7" top="0.75" bottom="0.75" header="0.3" footer="0.3"/>
  <ignoredErrors>
    <ignoredError sqref="A1:M1 A28:D28 A2:D2 G2 A3:D3 G3 A4:D4 G4 A29:B29 A5:D5 G5 A6:D6 G6 A7:D7 G7 A8:D8 G8 A9:D9 G9 A10:D10 G10 A11:D11 G11 A12:D12 G12 A13:D13 G13 A14:D14 G14 A15:D15 G15 A16:D16 G16 A17:D17 G17 A18:D18 G18 A19:D19 G19 A20:D20 G20 A21:D21 G21 A22:D22 G22 A23:D23 G23 A24:D24 G24 A25:D25 G25 A26:D26 G26 A27:D27 G27 G28 G29 I2 I3 I4 I5 I6 I7 I8 I9 I10 I11 I12 I13 I14 I15 I16 I17 I18 I19 I20 I21 I22 I23 I24 I25 I26 I27 I28 I29 K29:M29 K2 K3:M3 K4:M4 K5:M5 K6:M6 K7:M7 K8:M8 K9:M9 K10:L10 K11:M11 K12:M12 K13:M13 K14:M14 K15:M15 K16:M16 K17:M17 K18:M18 K19:M19 K20:M20 K21:M21 K22:M22 K23:M23 K24:M24 K25:M25 K26:M26 K27:M27 K28:M2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14"/>
  <sheetViews>
    <sheetView workbookViewId="0">
      <selection activeCell="C14" sqref="C14"/>
    </sheetView>
  </sheetViews>
  <sheetFormatPr baseColWidth="10" defaultRowHeight="15.5" x14ac:dyDescent="0.35"/>
  <cols>
    <col min="2" max="2" width="19.33203125" customWidth="1"/>
    <col min="3" max="3" width="14" customWidth="1"/>
  </cols>
  <sheetData>
    <row r="1" spans="1:4" x14ac:dyDescent="0.35">
      <c r="A1" t="s">
        <v>0</v>
      </c>
      <c r="B1" t="s">
        <v>45</v>
      </c>
      <c r="C1" t="s">
        <v>46</v>
      </c>
      <c r="D1" t="s">
        <v>47</v>
      </c>
    </row>
    <row r="2" spans="1:4" x14ac:dyDescent="0.35">
      <c r="A2">
        <v>1</v>
      </c>
      <c r="B2" t="s">
        <v>110</v>
      </c>
      <c r="C2">
        <f>82*2.5</f>
        <v>205</v>
      </c>
      <c r="D2">
        <f>C2/250</f>
        <v>0.82</v>
      </c>
    </row>
    <row r="3" spans="1:4" x14ac:dyDescent="0.35">
      <c r="A3">
        <v>2</v>
      </c>
      <c r="B3" t="s">
        <v>111</v>
      </c>
      <c r="C3">
        <f>117*2.5</f>
        <v>292.5</v>
      </c>
      <c r="D3">
        <f t="shared" ref="D3:D14" si="0">C3/250</f>
        <v>1.17</v>
      </c>
    </row>
    <row r="4" spans="1:4" x14ac:dyDescent="0.35">
      <c r="A4">
        <v>3</v>
      </c>
      <c r="B4" t="s">
        <v>112</v>
      </c>
      <c r="C4">
        <f>124*2.5</f>
        <v>310</v>
      </c>
      <c r="D4">
        <f t="shared" si="0"/>
        <v>1.24</v>
      </c>
    </row>
    <row r="5" spans="1:4" x14ac:dyDescent="0.35">
      <c r="A5">
        <v>4</v>
      </c>
      <c r="B5" t="s">
        <v>113</v>
      </c>
      <c r="C5">
        <f>116*2.5</f>
        <v>290</v>
      </c>
      <c r="D5">
        <f t="shared" si="0"/>
        <v>1.1599999999999999</v>
      </c>
    </row>
    <row r="6" spans="1:4" x14ac:dyDescent="0.35">
      <c r="A6">
        <v>5</v>
      </c>
      <c r="B6" t="s">
        <v>114</v>
      </c>
      <c r="C6">
        <f>170*2.5</f>
        <v>425</v>
      </c>
      <c r="D6">
        <f t="shared" si="0"/>
        <v>1.7</v>
      </c>
    </row>
    <row r="7" spans="1:4" x14ac:dyDescent="0.35">
      <c r="A7">
        <v>6</v>
      </c>
      <c r="B7" t="s">
        <v>115</v>
      </c>
      <c r="C7">
        <f>113*2.5</f>
        <v>282.5</v>
      </c>
      <c r="D7">
        <f t="shared" si="0"/>
        <v>1.1299999999999999</v>
      </c>
    </row>
    <row r="8" spans="1:4" x14ac:dyDescent="0.35">
      <c r="A8">
        <v>7</v>
      </c>
      <c r="B8" t="s">
        <v>116</v>
      </c>
      <c r="C8">
        <f>100*2.5</f>
        <v>250</v>
      </c>
      <c r="D8">
        <f t="shared" si="0"/>
        <v>1</v>
      </c>
    </row>
    <row r="9" spans="1:4" x14ac:dyDescent="0.35">
      <c r="A9">
        <v>8</v>
      </c>
      <c r="B9" t="s">
        <v>117</v>
      </c>
      <c r="C9">
        <f>115*2.5</f>
        <v>287.5</v>
      </c>
      <c r="D9">
        <f t="shared" si="0"/>
        <v>1.1499999999999999</v>
      </c>
    </row>
    <row r="10" spans="1:4" x14ac:dyDescent="0.35">
      <c r="A10">
        <v>9</v>
      </c>
      <c r="B10" t="s">
        <v>118</v>
      </c>
      <c r="C10">
        <f>100*2.5</f>
        <v>250</v>
      </c>
      <c r="D10">
        <f t="shared" si="0"/>
        <v>1</v>
      </c>
    </row>
    <row r="11" spans="1:4" x14ac:dyDescent="0.35">
      <c r="A11">
        <v>10</v>
      </c>
      <c r="B11" t="s">
        <v>119</v>
      </c>
      <c r="C11">
        <f>128*2.5</f>
        <v>320</v>
      </c>
      <c r="D11">
        <f t="shared" si="0"/>
        <v>1.28</v>
      </c>
    </row>
    <row r="12" spans="1:4" x14ac:dyDescent="0.35">
      <c r="A12">
        <v>11</v>
      </c>
      <c r="B12" t="s">
        <v>120</v>
      </c>
      <c r="C12">
        <f>87*2.5</f>
        <v>217.5</v>
      </c>
      <c r="D12">
        <f t="shared" si="0"/>
        <v>0.87</v>
      </c>
    </row>
    <row r="13" spans="1:4" x14ac:dyDescent="0.35">
      <c r="A13">
        <v>12</v>
      </c>
      <c r="B13" t="s">
        <v>121</v>
      </c>
      <c r="C13">
        <f>131*2.5</f>
        <v>327.5</v>
      </c>
      <c r="D13">
        <f t="shared" si="0"/>
        <v>1.31</v>
      </c>
    </row>
    <row r="14" spans="1:4" x14ac:dyDescent="0.35">
      <c r="A14">
        <v>13</v>
      </c>
      <c r="B14" t="s">
        <v>122</v>
      </c>
      <c r="C14">
        <v>149.4</v>
      </c>
      <c r="D14">
        <f t="shared" si="0"/>
        <v>0.59760000000000002</v>
      </c>
    </row>
  </sheetData>
  <pageMargins left="0.7" right="0.7" top="0.75" bottom="0.75" header="0.3" footer="0.3"/>
  <ignoredErrors>
    <ignoredError sqref="A1:D1 A9 A2 A3 A4 A5 A6 A7 A8"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F19"/>
  <sheetViews>
    <sheetView workbookViewId="0">
      <selection activeCell="A20" sqref="A20"/>
    </sheetView>
  </sheetViews>
  <sheetFormatPr baseColWidth="10" defaultRowHeight="15.5" x14ac:dyDescent="0.35"/>
  <cols>
    <col min="1" max="1" width="25.75" customWidth="1"/>
    <col min="2" max="2" width="19.6640625" customWidth="1"/>
    <col min="3" max="3" width="10.75" customWidth="1"/>
    <col min="4" max="4" width="17.1640625" customWidth="1"/>
    <col min="5" max="5" width="24.08203125" customWidth="1"/>
  </cols>
  <sheetData>
    <row r="1" spans="1:6" ht="28.5" customHeight="1" x14ac:dyDescent="0.35">
      <c r="A1" t="s">
        <v>48</v>
      </c>
      <c r="B1" t="s">
        <v>49</v>
      </c>
      <c r="C1" s="1" t="s">
        <v>50</v>
      </c>
      <c r="D1" s="1" t="s">
        <v>51</v>
      </c>
      <c r="E1" s="1" t="s">
        <v>52</v>
      </c>
      <c r="F1" t="s">
        <v>53</v>
      </c>
    </row>
    <row r="2" spans="1:6" x14ac:dyDescent="0.35">
      <c r="A2" t="s">
        <v>54</v>
      </c>
      <c r="B2" t="s">
        <v>55</v>
      </c>
      <c r="C2">
        <v>0</v>
      </c>
      <c r="D2">
        <v>0</v>
      </c>
      <c r="E2" t="s">
        <v>56</v>
      </c>
      <c r="F2" t="s">
        <v>57</v>
      </c>
    </row>
    <row r="3" spans="1:6" x14ac:dyDescent="0.35">
      <c r="A3" t="s">
        <v>58</v>
      </c>
      <c r="B3" t="s">
        <v>59</v>
      </c>
      <c r="C3">
        <v>0</v>
      </c>
      <c r="D3">
        <v>0</v>
      </c>
      <c r="E3" t="s">
        <v>56</v>
      </c>
      <c r="F3" t="s">
        <v>60</v>
      </c>
    </row>
    <row r="4" spans="1:6" x14ac:dyDescent="0.35">
      <c r="A4" t="s">
        <v>61</v>
      </c>
      <c r="B4" t="s">
        <v>62</v>
      </c>
      <c r="C4" t="s">
        <v>62</v>
      </c>
      <c r="D4" t="s">
        <v>62</v>
      </c>
      <c r="E4" t="s">
        <v>62</v>
      </c>
      <c r="F4" t="s">
        <v>62</v>
      </c>
    </row>
    <row r="5" spans="1:6" x14ac:dyDescent="0.35">
      <c r="A5" t="s">
        <v>110</v>
      </c>
      <c r="B5" t="s">
        <v>63</v>
      </c>
      <c r="C5">
        <v>0</v>
      </c>
      <c r="D5">
        <v>0</v>
      </c>
      <c r="E5" t="s">
        <v>64</v>
      </c>
      <c r="F5" t="s">
        <v>65</v>
      </c>
    </row>
    <row r="6" spans="1:6" x14ac:dyDescent="0.35">
      <c r="A6" t="s">
        <v>111</v>
      </c>
      <c r="B6" t="s">
        <v>63</v>
      </c>
      <c r="C6">
        <v>0</v>
      </c>
      <c r="D6">
        <v>0</v>
      </c>
      <c r="E6" t="s">
        <v>64</v>
      </c>
      <c r="F6" t="s">
        <v>65</v>
      </c>
    </row>
    <row r="7" spans="1:6" x14ac:dyDescent="0.35">
      <c r="A7" t="s">
        <v>112</v>
      </c>
      <c r="B7" t="s">
        <v>63</v>
      </c>
      <c r="C7">
        <v>0</v>
      </c>
      <c r="D7">
        <v>0</v>
      </c>
      <c r="E7" t="s">
        <v>64</v>
      </c>
      <c r="F7" t="s">
        <v>65</v>
      </c>
    </row>
    <row r="8" spans="1:6" x14ac:dyDescent="0.35">
      <c r="A8" t="s">
        <v>113</v>
      </c>
      <c r="B8" t="s">
        <v>63</v>
      </c>
      <c r="C8">
        <v>0</v>
      </c>
      <c r="D8">
        <v>0</v>
      </c>
      <c r="E8" t="s">
        <v>64</v>
      </c>
      <c r="F8" t="s">
        <v>65</v>
      </c>
    </row>
    <row r="9" spans="1:6" x14ac:dyDescent="0.35">
      <c r="A9" t="s">
        <v>114</v>
      </c>
      <c r="B9" t="s">
        <v>63</v>
      </c>
      <c r="C9">
        <v>0</v>
      </c>
      <c r="D9">
        <v>0</v>
      </c>
      <c r="E9" t="s">
        <v>64</v>
      </c>
      <c r="F9" t="s">
        <v>65</v>
      </c>
    </row>
    <row r="10" spans="1:6" x14ac:dyDescent="0.35">
      <c r="A10" t="s">
        <v>115</v>
      </c>
      <c r="B10" t="s">
        <v>63</v>
      </c>
      <c r="C10">
        <v>0</v>
      </c>
      <c r="D10">
        <v>0</v>
      </c>
      <c r="E10" t="s">
        <v>64</v>
      </c>
      <c r="F10" t="s">
        <v>65</v>
      </c>
    </row>
    <row r="11" spans="1:6" x14ac:dyDescent="0.35">
      <c r="A11" t="s">
        <v>116</v>
      </c>
      <c r="B11" t="s">
        <v>63</v>
      </c>
      <c r="C11">
        <v>0</v>
      </c>
      <c r="D11">
        <v>0</v>
      </c>
      <c r="E11" t="s">
        <v>64</v>
      </c>
      <c r="F11" t="s">
        <v>65</v>
      </c>
    </row>
    <row r="12" spans="1:6" x14ac:dyDescent="0.35">
      <c r="A12" t="s">
        <v>117</v>
      </c>
      <c r="B12" t="s">
        <v>63</v>
      </c>
      <c r="C12">
        <v>0</v>
      </c>
      <c r="D12">
        <v>0</v>
      </c>
      <c r="E12" t="s">
        <v>64</v>
      </c>
      <c r="F12" t="s">
        <v>65</v>
      </c>
    </row>
    <row r="13" spans="1:6" x14ac:dyDescent="0.35">
      <c r="A13" t="s">
        <v>118</v>
      </c>
      <c r="B13" t="s">
        <v>63</v>
      </c>
      <c r="C13">
        <v>0</v>
      </c>
      <c r="D13">
        <v>0</v>
      </c>
      <c r="E13" t="s">
        <v>64</v>
      </c>
      <c r="F13" t="s">
        <v>65</v>
      </c>
    </row>
    <row r="14" spans="1:6" x14ac:dyDescent="0.35">
      <c r="A14" t="s">
        <v>119</v>
      </c>
      <c r="B14" t="s">
        <v>63</v>
      </c>
      <c r="C14">
        <v>0</v>
      </c>
      <c r="D14">
        <v>0</v>
      </c>
      <c r="E14" t="s">
        <v>64</v>
      </c>
      <c r="F14" t="s">
        <v>65</v>
      </c>
    </row>
    <row r="15" spans="1:6" x14ac:dyDescent="0.35">
      <c r="A15" t="s">
        <v>120</v>
      </c>
      <c r="B15" t="s">
        <v>63</v>
      </c>
      <c r="C15">
        <v>0</v>
      </c>
      <c r="D15">
        <v>0</v>
      </c>
      <c r="E15" t="s">
        <v>64</v>
      </c>
      <c r="F15" t="s">
        <v>65</v>
      </c>
    </row>
    <row r="16" spans="1:6" x14ac:dyDescent="0.35">
      <c r="A16" t="s">
        <v>121</v>
      </c>
      <c r="B16" t="s">
        <v>63</v>
      </c>
      <c r="C16">
        <v>0</v>
      </c>
      <c r="D16">
        <v>0</v>
      </c>
      <c r="E16" t="s">
        <v>64</v>
      </c>
      <c r="F16" t="s">
        <v>65</v>
      </c>
    </row>
    <row r="17" spans="1:6" x14ac:dyDescent="0.35">
      <c r="A17" t="s">
        <v>122</v>
      </c>
      <c r="B17" t="s">
        <v>63</v>
      </c>
      <c r="C17">
        <v>0</v>
      </c>
      <c r="D17">
        <v>0</v>
      </c>
      <c r="E17" t="s">
        <v>64</v>
      </c>
      <c r="F17" t="s">
        <v>65</v>
      </c>
    </row>
    <row r="18" spans="1:6" x14ac:dyDescent="0.35">
      <c r="A18" t="s">
        <v>66</v>
      </c>
      <c r="B18" t="s">
        <v>62</v>
      </c>
      <c r="C18" t="s">
        <v>62</v>
      </c>
      <c r="D18" t="s">
        <v>62</v>
      </c>
      <c r="E18" t="s">
        <v>62</v>
      </c>
      <c r="F18" t="s">
        <v>62</v>
      </c>
    </row>
    <row r="19" spans="1:6" x14ac:dyDescent="0.35">
      <c r="A19" t="s">
        <v>67</v>
      </c>
      <c r="B19" t="s">
        <v>68</v>
      </c>
      <c r="C19" t="s">
        <v>69</v>
      </c>
      <c r="D19" t="s">
        <v>69</v>
      </c>
      <c r="E19" t="s">
        <v>70</v>
      </c>
      <c r="F19" t="s">
        <v>71</v>
      </c>
    </row>
  </sheetData>
  <pageMargins left="0.7" right="0.7" top="0.75" bottom="0.75" header="0.3" footer="0.3"/>
  <ignoredErrors>
    <ignoredError sqref="A1:F4 B5:F1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Costeo Velas</vt:lpstr>
      <vt:lpstr>Fragancias</vt:lpstr>
      <vt:lpstr>Insumos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GARCIA GONZALEZ, AURA LIZETH</cp:lastModifiedBy>
  <dcterms:created xsi:type="dcterms:W3CDTF">2026-08-11T20:22:18Z</dcterms:created>
  <dcterms:modified xsi:type="dcterms:W3CDTF">2026-09-03T07:08:57Z</dcterms:modified>
</cp:coreProperties>
</file>
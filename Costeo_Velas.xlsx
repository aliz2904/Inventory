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Velisima\"/>
    </mc:Choice>
  </mc:AlternateContent>
  <xr:revisionPtr revIDLastSave="0" documentId="13_ncr:1_{0D938DC7-20D8-4EB8-B797-A38FB8C04F6B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Costeo Velas" sheetId="1" r:id="rId1"/>
    <sheet name="Fraganci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1" l="1"/>
  <c r="I29" i="1"/>
  <c r="I28" i="1"/>
  <c r="D29" i="1"/>
  <c r="E29" i="1"/>
  <c r="F29" i="1"/>
  <c r="G2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" i="1"/>
  <c r="H28" i="1"/>
  <c r="F28" i="1"/>
  <c r="G28" i="1" s="1"/>
  <c r="D28" i="1"/>
  <c r="E28" i="1" s="1"/>
  <c r="H27" i="1"/>
  <c r="F27" i="1"/>
  <c r="G27" i="1" s="1"/>
  <c r="D27" i="1"/>
  <c r="E27" i="1" s="1"/>
  <c r="I27" i="1" s="1"/>
  <c r="H26" i="1"/>
  <c r="F26" i="1"/>
  <c r="G26" i="1" s="1"/>
  <c r="D26" i="1"/>
  <c r="E26" i="1" s="1"/>
  <c r="H25" i="1"/>
  <c r="F25" i="1"/>
  <c r="G25" i="1" s="1"/>
  <c r="D25" i="1"/>
  <c r="E25" i="1" s="1"/>
  <c r="H24" i="1"/>
  <c r="F24" i="1"/>
  <c r="G24" i="1" s="1"/>
  <c r="D24" i="1"/>
  <c r="E24" i="1" s="1"/>
  <c r="H23" i="1"/>
  <c r="F23" i="1"/>
  <c r="G23" i="1" s="1"/>
  <c r="D23" i="1"/>
  <c r="E23" i="1" s="1"/>
  <c r="H22" i="1"/>
  <c r="F22" i="1"/>
  <c r="G22" i="1" s="1"/>
  <c r="D22" i="1"/>
  <c r="E22" i="1" s="1"/>
  <c r="H21" i="1"/>
  <c r="F21" i="1"/>
  <c r="G21" i="1" s="1"/>
  <c r="D21" i="1"/>
  <c r="E21" i="1" s="1"/>
  <c r="H20" i="1"/>
  <c r="F20" i="1"/>
  <c r="G20" i="1" s="1"/>
  <c r="D20" i="1"/>
  <c r="E20" i="1" s="1"/>
  <c r="H19" i="1"/>
  <c r="F19" i="1"/>
  <c r="G19" i="1" s="1"/>
  <c r="D19" i="1"/>
  <c r="E19" i="1" s="1"/>
  <c r="I19" i="1" s="1"/>
  <c r="H18" i="1"/>
  <c r="F18" i="1"/>
  <c r="G18" i="1" s="1"/>
  <c r="D18" i="1"/>
  <c r="E18" i="1" s="1"/>
  <c r="H17" i="1"/>
  <c r="F17" i="1"/>
  <c r="G17" i="1" s="1"/>
  <c r="D17" i="1"/>
  <c r="E17" i="1" s="1"/>
  <c r="H16" i="1"/>
  <c r="F16" i="1"/>
  <c r="G16" i="1" s="1"/>
  <c r="D16" i="1"/>
  <c r="E16" i="1" s="1"/>
  <c r="H15" i="1"/>
  <c r="F15" i="1"/>
  <c r="G15" i="1" s="1"/>
  <c r="D15" i="1"/>
  <c r="E15" i="1" s="1"/>
  <c r="H14" i="1"/>
  <c r="F14" i="1"/>
  <c r="G14" i="1" s="1"/>
  <c r="D14" i="1"/>
  <c r="E14" i="1" s="1"/>
  <c r="I14" i="1" s="1"/>
  <c r="H13" i="1"/>
  <c r="F13" i="1"/>
  <c r="G13" i="1" s="1"/>
  <c r="D13" i="1"/>
  <c r="E13" i="1" s="1"/>
  <c r="H12" i="1"/>
  <c r="F12" i="1"/>
  <c r="G12" i="1" s="1"/>
  <c r="D12" i="1"/>
  <c r="E12" i="1" s="1"/>
  <c r="H11" i="1"/>
  <c r="F11" i="1"/>
  <c r="G11" i="1" s="1"/>
  <c r="D11" i="1"/>
  <c r="E11" i="1" s="1"/>
  <c r="I11" i="1" s="1"/>
  <c r="H10" i="1"/>
  <c r="F10" i="1"/>
  <c r="G10" i="1" s="1"/>
  <c r="D10" i="1"/>
  <c r="E10" i="1" s="1"/>
  <c r="H9" i="1"/>
  <c r="F9" i="1"/>
  <c r="G9" i="1" s="1"/>
  <c r="D9" i="1"/>
  <c r="E9" i="1" s="1"/>
  <c r="H8" i="1"/>
  <c r="F8" i="1"/>
  <c r="G8" i="1" s="1"/>
  <c r="D8" i="1"/>
  <c r="E8" i="1" s="1"/>
  <c r="H7" i="1"/>
  <c r="F7" i="1"/>
  <c r="G7" i="1" s="1"/>
  <c r="D7" i="1"/>
  <c r="E7" i="1" s="1"/>
  <c r="H6" i="1"/>
  <c r="F6" i="1"/>
  <c r="G6" i="1" s="1"/>
  <c r="D6" i="1"/>
  <c r="E6" i="1" s="1"/>
  <c r="I6" i="1" s="1"/>
  <c r="H5" i="1"/>
  <c r="F5" i="1"/>
  <c r="G5" i="1" s="1"/>
  <c r="D5" i="1"/>
  <c r="E5" i="1" s="1"/>
  <c r="H4" i="1"/>
  <c r="F4" i="1"/>
  <c r="G4" i="1" s="1"/>
  <c r="D4" i="1"/>
  <c r="E4" i="1" s="1"/>
  <c r="H3" i="1"/>
  <c r="F3" i="1"/>
  <c r="G3" i="1" s="1"/>
  <c r="D3" i="1"/>
  <c r="E3" i="1" s="1"/>
  <c r="I3" i="1" s="1"/>
  <c r="H2" i="1"/>
  <c r="F2" i="1"/>
  <c r="G2" i="1" s="1"/>
  <c r="D2" i="1"/>
  <c r="E2" i="1" s="1"/>
  <c r="I22" i="1" l="1"/>
  <c r="I5" i="1"/>
  <c r="I13" i="1"/>
  <c r="I21" i="1"/>
  <c r="I8" i="1"/>
  <c r="I16" i="1"/>
  <c r="I24" i="1"/>
  <c r="I9" i="1"/>
  <c r="I17" i="1"/>
  <c r="I25" i="1"/>
  <c r="I4" i="1"/>
  <c r="I12" i="1"/>
  <c r="I20" i="1"/>
  <c r="I7" i="1"/>
  <c r="I15" i="1"/>
  <c r="I23" i="1"/>
  <c r="I2" i="1"/>
  <c r="I10" i="1"/>
  <c r="I18" i="1"/>
  <c r="I26" i="1"/>
</calcChain>
</file>

<file path=xl/sharedStrings.xml><?xml version="1.0" encoding="utf-8"?>
<sst xmlns="http://schemas.openxmlformats.org/spreadsheetml/2006/main" count="48" uniqueCount="48">
  <si>
    <t>Molde</t>
  </si>
  <si>
    <t>Gramaje total (g)</t>
  </si>
  <si>
    <t>Cera (g)</t>
  </si>
  <si>
    <t>Costo cera</t>
  </si>
  <si>
    <t>Fragancia (g)</t>
  </si>
  <si>
    <t>Costo fragancia</t>
  </si>
  <si>
    <t>Pabilo</t>
  </si>
  <si>
    <t>Total insumos</t>
  </si>
  <si>
    <t>Parámetros</t>
  </si>
  <si>
    <t>Sagrada Fam</t>
  </si>
  <si>
    <t>Costo cera $/g</t>
  </si>
  <si>
    <t>Flor 1</t>
  </si>
  <si>
    <t>Costo fragancia $/g</t>
  </si>
  <si>
    <t>Flor 2 (base circular)</t>
  </si>
  <si>
    <t>% Fragancia</t>
  </si>
  <si>
    <t>Tulipán</t>
  </si>
  <si>
    <t>% Aditivo</t>
  </si>
  <si>
    <t>Costo pabilo</t>
  </si>
  <si>
    <t>Flor 3 (cilindro)</t>
  </si>
  <si>
    <t>Rosa</t>
  </si>
  <si>
    <t>Flor plana</t>
  </si>
  <si>
    <t>Nube grande</t>
  </si>
  <si>
    <t>Esqueleto</t>
  </si>
  <si>
    <t>Manos rezando</t>
  </si>
  <si>
    <t>Bulldog</t>
  </si>
  <si>
    <t>Busto ojos</t>
  </si>
  <si>
    <t>Vela fantasma</t>
  </si>
  <si>
    <t>Gato fantasma</t>
  </si>
  <si>
    <t>Fantasma grande</t>
  </si>
  <si>
    <t>Perro fantasma</t>
  </si>
  <si>
    <t>Busto ojo tapado</t>
  </si>
  <si>
    <t>Huella perro</t>
  </si>
  <si>
    <t>Gato sentado</t>
  </si>
  <si>
    <t>Gato acostado</t>
  </si>
  <si>
    <t>Virgen</t>
  </si>
  <si>
    <t>Fantasma cabeza calabaza</t>
  </si>
  <si>
    <t>Calabaza centro</t>
  </si>
  <si>
    <t>Calabaza grande</t>
  </si>
  <si>
    <t>Flor cempasúchil</t>
  </si>
  <si>
    <t>Precio venta</t>
  </si>
  <si>
    <t>Ganancia</t>
  </si>
  <si>
    <t>Fantasma moño</t>
  </si>
  <si>
    <t>Venus</t>
  </si>
  <si>
    <t>Peonía cempasuchil blanca</t>
  </si>
  <si>
    <t>ID</t>
  </si>
  <si>
    <t>Nombre</t>
  </si>
  <si>
    <t>Costo_250ml</t>
  </si>
  <si>
    <t>Costo_g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</si>
</sst>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  <scheme val="minor"/>
    </font>
    <font>
      <b/>
      <sz val="11"/>
      <name val="Calibri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"/>
  <sheetViews>
    <sheetView tabSelected="1" topLeftCell="A11" workbookViewId="0">
      <selection activeCell="J30" sqref="J30"/>
    </sheetView>
  </sheetViews>
  <sheetFormatPr baseColWidth="10" defaultColWidth="14.453125" defaultRowHeight="15" customHeight="1" x14ac:dyDescent="0.35"/>
  <cols>
    <col min="1" max="1" width="5.7265625" customWidth="1"/>
    <col min="2" max="2" width="24.26953125" customWidth="1"/>
    <col min="3" max="3" width="17.54296875" customWidth="1"/>
    <col min="4" max="4" width="16.08984375" customWidth="1"/>
    <col min="5" max="5" width="12.90625" customWidth="1"/>
    <col min="6" max="6" width="19.26953125" customWidth="1"/>
    <col min="7" max="7" width="15.81640625" customWidth="1"/>
    <col min="8" max="8" width="11.26953125" customWidth="1"/>
    <col min="9" max="9" width="16" customWidth="1"/>
    <col min="10" max="10" width="13.26953125" customWidth="1"/>
    <col min="11" max="11" width="13" customWidth="1"/>
    <col min="12" max="13" width="8.7265625" customWidth="1"/>
  </cols>
  <sheetData>
    <row r="1" spans="1:13" ht="14.5" x14ac:dyDescent="0.35">
      <c r="B1" s="1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4" t="s">
        <v>39</v>
      </c>
      <c r="K1" s="4" t="s">
        <v>40</v>
      </c>
      <c r="L1" t="s">
        <v>8</v>
      </c>
    </row>
    <row r="2" spans="1:13" ht="14.5" x14ac:dyDescent="0.35">
      <c r="A2" s="2">
        <v>1</v>
      </c>
      <c r="B2" t="s">
        <v>9</v>
      </c>
      <c r="C2" s="2">
        <v>85</v>
      </c>
      <c r="D2" s="2">
        <f t="shared" ref="D2:D29" si="0">C2*(1-$M$4-$M$5)</f>
        <v>76.5</v>
      </c>
      <c r="E2" s="2">
        <f t="shared" ref="E2:E29" si="1">D2*$M$2</f>
        <v>8.4150000000000009</v>
      </c>
      <c r="F2" s="2">
        <f t="shared" ref="F2:F29" si="2">C2*$M$4</f>
        <v>6.8</v>
      </c>
      <c r="G2" s="2">
        <f t="shared" ref="G2:G29" si="3">F2*$M$3</f>
        <v>4.76</v>
      </c>
      <c r="H2" s="2">
        <f t="shared" ref="H2:H28" si="4">$M$6</f>
        <v>0.5</v>
      </c>
      <c r="I2" s="2">
        <f t="shared" ref="I2:I28" si="5">E2+G2+H2</f>
        <v>13.675000000000001</v>
      </c>
      <c r="J2" s="2">
        <v>110</v>
      </c>
      <c r="K2" s="2">
        <f>J2-I2</f>
        <v>96.325000000000003</v>
      </c>
      <c r="L2" t="s">
        <v>10</v>
      </c>
      <c r="M2">
        <v>0.11</v>
      </c>
    </row>
    <row r="3" spans="1:13" ht="14.5" x14ac:dyDescent="0.35">
      <c r="A3" s="2">
        <v>2</v>
      </c>
      <c r="B3" t="s">
        <v>11</v>
      </c>
      <c r="C3" s="2">
        <v>22</v>
      </c>
      <c r="D3" s="2">
        <f t="shared" si="0"/>
        <v>19.8</v>
      </c>
      <c r="E3" s="2">
        <f t="shared" si="1"/>
        <v>2.1779999999999999</v>
      </c>
      <c r="F3" s="2">
        <f t="shared" si="2"/>
        <v>1.76</v>
      </c>
      <c r="G3" s="2">
        <f t="shared" si="3"/>
        <v>1.232</v>
      </c>
      <c r="H3" s="2">
        <f t="shared" si="4"/>
        <v>0.5</v>
      </c>
      <c r="I3" s="2">
        <f t="shared" si="5"/>
        <v>3.91</v>
      </c>
      <c r="J3" s="2">
        <v>35</v>
      </c>
      <c r="K3" s="2">
        <f t="shared" ref="K3:K29" si="6">J3-I3</f>
        <v>31.09</v>
      </c>
      <c r="L3" t="s">
        <v>12</v>
      </c>
      <c r="M3">
        <v>0.7</v>
      </c>
    </row>
    <row r="4" spans="1:13" ht="14.5" x14ac:dyDescent="0.35">
      <c r="A4" s="2">
        <v>3</v>
      </c>
      <c r="B4" t="s">
        <v>13</v>
      </c>
      <c r="C4" s="2">
        <v>22</v>
      </c>
      <c r="D4" s="2">
        <f t="shared" si="0"/>
        <v>19.8</v>
      </c>
      <c r="E4" s="2">
        <f t="shared" si="1"/>
        <v>2.1779999999999999</v>
      </c>
      <c r="F4" s="2">
        <f t="shared" si="2"/>
        <v>1.76</v>
      </c>
      <c r="G4" s="2">
        <f t="shared" si="3"/>
        <v>1.232</v>
      </c>
      <c r="H4" s="2">
        <f t="shared" si="4"/>
        <v>0.5</v>
      </c>
      <c r="I4" s="2">
        <f t="shared" si="5"/>
        <v>3.91</v>
      </c>
      <c r="J4" s="2">
        <v>35</v>
      </c>
      <c r="K4" s="2">
        <f t="shared" si="6"/>
        <v>31.09</v>
      </c>
      <c r="L4" t="s">
        <v>14</v>
      </c>
      <c r="M4">
        <v>0.08</v>
      </c>
    </row>
    <row r="5" spans="1:13" ht="14.5" x14ac:dyDescent="0.35">
      <c r="A5" s="2">
        <v>4</v>
      </c>
      <c r="B5" t="s">
        <v>15</v>
      </c>
      <c r="C5" s="2">
        <v>28</v>
      </c>
      <c r="D5" s="2">
        <f t="shared" si="0"/>
        <v>25.2</v>
      </c>
      <c r="E5" s="2">
        <f t="shared" si="1"/>
        <v>2.7719999999999998</v>
      </c>
      <c r="F5" s="2">
        <f t="shared" si="2"/>
        <v>2.2400000000000002</v>
      </c>
      <c r="G5" s="2">
        <f t="shared" si="3"/>
        <v>1.5680000000000001</v>
      </c>
      <c r="H5" s="2">
        <f t="shared" si="4"/>
        <v>0.5</v>
      </c>
      <c r="I5" s="2">
        <f t="shared" si="5"/>
        <v>4.84</v>
      </c>
      <c r="J5" s="2">
        <v>45</v>
      </c>
      <c r="K5" s="2">
        <f t="shared" si="6"/>
        <v>40.159999999999997</v>
      </c>
      <c r="L5" t="s">
        <v>16</v>
      </c>
      <c r="M5">
        <v>0.02</v>
      </c>
    </row>
    <row r="6" spans="1:13" ht="14.5" x14ac:dyDescent="0.35">
      <c r="A6" s="2">
        <v>5</v>
      </c>
      <c r="B6" t="s">
        <v>43</v>
      </c>
      <c r="C6" s="2">
        <v>30</v>
      </c>
      <c r="D6" s="2">
        <f t="shared" si="0"/>
        <v>27</v>
      </c>
      <c r="E6" s="2">
        <f t="shared" si="1"/>
        <v>2.97</v>
      </c>
      <c r="F6" s="2">
        <f t="shared" si="2"/>
        <v>2.4</v>
      </c>
      <c r="G6" s="2">
        <f t="shared" si="3"/>
        <v>1.68</v>
      </c>
      <c r="H6" s="2">
        <f t="shared" si="4"/>
        <v>0.5</v>
      </c>
      <c r="I6" s="2">
        <f t="shared" si="5"/>
        <v>5.15</v>
      </c>
      <c r="J6" s="2">
        <v>45</v>
      </c>
      <c r="K6" s="2">
        <f t="shared" si="6"/>
        <v>39.85</v>
      </c>
      <c r="L6" t="s">
        <v>17</v>
      </c>
      <c r="M6">
        <v>0.5</v>
      </c>
    </row>
    <row r="7" spans="1:13" ht="14.5" x14ac:dyDescent="0.35">
      <c r="A7" s="2">
        <v>6</v>
      </c>
      <c r="B7" t="s">
        <v>18</v>
      </c>
      <c r="C7" s="2">
        <v>20</v>
      </c>
      <c r="D7" s="2">
        <f t="shared" si="0"/>
        <v>18</v>
      </c>
      <c r="E7" s="2">
        <f t="shared" si="1"/>
        <v>1.98</v>
      </c>
      <c r="F7" s="2">
        <f t="shared" si="2"/>
        <v>1.6</v>
      </c>
      <c r="G7" s="2">
        <f t="shared" si="3"/>
        <v>1.1199999999999999</v>
      </c>
      <c r="H7" s="2">
        <f t="shared" si="4"/>
        <v>0.5</v>
      </c>
      <c r="I7" s="2">
        <f t="shared" si="5"/>
        <v>3.5999999999999996</v>
      </c>
      <c r="J7" s="2">
        <v>35</v>
      </c>
      <c r="K7" s="2">
        <f t="shared" si="6"/>
        <v>31.4</v>
      </c>
    </row>
    <row r="8" spans="1:13" ht="14.5" x14ac:dyDescent="0.35">
      <c r="A8" s="2">
        <v>7</v>
      </c>
      <c r="B8" t="s">
        <v>19</v>
      </c>
      <c r="C8" s="2">
        <v>25</v>
      </c>
      <c r="D8" s="2">
        <f t="shared" si="0"/>
        <v>22.5</v>
      </c>
      <c r="E8" s="2">
        <f t="shared" si="1"/>
        <v>2.4750000000000001</v>
      </c>
      <c r="F8" s="2">
        <f t="shared" si="2"/>
        <v>2</v>
      </c>
      <c r="G8" s="2">
        <f t="shared" si="3"/>
        <v>1.4</v>
      </c>
      <c r="H8" s="2">
        <f t="shared" si="4"/>
        <v>0.5</v>
      </c>
      <c r="I8" s="2">
        <f t="shared" si="5"/>
        <v>4.375</v>
      </c>
      <c r="J8" s="2">
        <v>40</v>
      </c>
      <c r="K8" s="2">
        <f t="shared" si="6"/>
        <v>35.625</v>
      </c>
    </row>
    <row r="9" spans="1:13" ht="14.5" x14ac:dyDescent="0.35">
      <c r="A9" s="2">
        <v>8</v>
      </c>
      <c r="B9" t="s">
        <v>20</v>
      </c>
      <c r="C9" s="2">
        <v>32</v>
      </c>
      <c r="D9" s="2">
        <f t="shared" si="0"/>
        <v>28.8</v>
      </c>
      <c r="E9" s="2">
        <f t="shared" si="1"/>
        <v>3.1680000000000001</v>
      </c>
      <c r="F9" s="2">
        <f t="shared" si="2"/>
        <v>2.56</v>
      </c>
      <c r="G9" s="2">
        <f t="shared" si="3"/>
        <v>1.7919999999999998</v>
      </c>
      <c r="H9" s="2">
        <f t="shared" si="4"/>
        <v>0.5</v>
      </c>
      <c r="I9" s="2">
        <f t="shared" si="5"/>
        <v>5.46</v>
      </c>
      <c r="J9" s="2">
        <v>50</v>
      </c>
      <c r="K9" s="2">
        <f t="shared" si="6"/>
        <v>44.54</v>
      </c>
    </row>
    <row r="10" spans="1:13" ht="14.5" x14ac:dyDescent="0.35">
      <c r="A10" s="2">
        <v>9</v>
      </c>
      <c r="B10" t="s">
        <v>21</v>
      </c>
      <c r="C10" s="2">
        <v>93</v>
      </c>
      <c r="D10" s="2">
        <f t="shared" si="0"/>
        <v>83.7</v>
      </c>
      <c r="E10" s="2">
        <f t="shared" si="1"/>
        <v>9.2070000000000007</v>
      </c>
      <c r="F10" s="2">
        <f t="shared" si="2"/>
        <v>7.44</v>
      </c>
      <c r="G10" s="2">
        <f t="shared" si="3"/>
        <v>5.2080000000000002</v>
      </c>
      <c r="H10" s="2">
        <f t="shared" si="4"/>
        <v>0.5</v>
      </c>
      <c r="I10" s="2">
        <f t="shared" si="5"/>
        <v>14.915000000000001</v>
      </c>
      <c r="J10" s="2">
        <v>100</v>
      </c>
      <c r="K10" s="2">
        <f t="shared" si="6"/>
        <v>85.084999999999994</v>
      </c>
    </row>
    <row r="11" spans="1:13" ht="14.5" x14ac:dyDescent="0.35">
      <c r="A11" s="2">
        <v>10</v>
      </c>
      <c r="B11" t="s">
        <v>22</v>
      </c>
      <c r="C11" s="2">
        <v>19</v>
      </c>
      <c r="D11" s="2">
        <f t="shared" si="0"/>
        <v>17.100000000000001</v>
      </c>
      <c r="E11" s="2">
        <f t="shared" si="1"/>
        <v>1.8810000000000002</v>
      </c>
      <c r="F11" s="2">
        <f t="shared" si="2"/>
        <v>1.52</v>
      </c>
      <c r="G11" s="2">
        <f t="shared" si="3"/>
        <v>1.0639999999999998</v>
      </c>
      <c r="H11" s="2">
        <f t="shared" si="4"/>
        <v>0.5</v>
      </c>
      <c r="I11" s="2">
        <f t="shared" si="5"/>
        <v>3.4450000000000003</v>
      </c>
      <c r="J11" s="2">
        <v>30</v>
      </c>
      <c r="K11" s="2">
        <f t="shared" si="6"/>
        <v>26.555</v>
      </c>
    </row>
    <row r="12" spans="1:13" ht="14.5" x14ac:dyDescent="0.35">
      <c r="A12" s="2">
        <v>11</v>
      </c>
      <c r="B12" t="s">
        <v>23</v>
      </c>
      <c r="C12" s="2">
        <v>62</v>
      </c>
      <c r="D12" s="2">
        <f t="shared" si="0"/>
        <v>55.800000000000004</v>
      </c>
      <c r="E12" s="2">
        <f t="shared" si="1"/>
        <v>6.1380000000000008</v>
      </c>
      <c r="F12" s="2">
        <f t="shared" si="2"/>
        <v>4.96</v>
      </c>
      <c r="G12" s="2">
        <f t="shared" si="3"/>
        <v>3.472</v>
      </c>
      <c r="H12" s="2">
        <f t="shared" si="4"/>
        <v>0.5</v>
      </c>
      <c r="I12" s="2">
        <f t="shared" si="5"/>
        <v>10.110000000000001</v>
      </c>
      <c r="J12" s="2">
        <v>80</v>
      </c>
      <c r="K12" s="2">
        <f t="shared" si="6"/>
        <v>69.89</v>
      </c>
    </row>
    <row r="13" spans="1:13" ht="14.5" x14ac:dyDescent="0.35">
      <c r="A13" s="2">
        <v>12</v>
      </c>
      <c r="B13" t="s">
        <v>24</v>
      </c>
      <c r="C13" s="2">
        <v>62</v>
      </c>
      <c r="D13" s="2">
        <f t="shared" si="0"/>
        <v>55.800000000000004</v>
      </c>
      <c r="E13" s="2">
        <f t="shared" si="1"/>
        <v>6.1380000000000008</v>
      </c>
      <c r="F13" s="2">
        <f t="shared" si="2"/>
        <v>4.96</v>
      </c>
      <c r="G13" s="2">
        <f t="shared" si="3"/>
        <v>3.472</v>
      </c>
      <c r="H13" s="2">
        <f t="shared" si="4"/>
        <v>0.5</v>
      </c>
      <c r="I13" s="2">
        <f t="shared" si="5"/>
        <v>10.110000000000001</v>
      </c>
      <c r="J13" s="2">
        <v>45</v>
      </c>
      <c r="K13" s="2">
        <f t="shared" si="6"/>
        <v>34.89</v>
      </c>
    </row>
    <row r="14" spans="1:13" ht="14.5" x14ac:dyDescent="0.35">
      <c r="A14" s="2">
        <v>13</v>
      </c>
      <c r="B14" s="5" t="s">
        <v>41</v>
      </c>
      <c r="C14" s="2">
        <v>79</v>
      </c>
      <c r="D14" s="2">
        <f t="shared" si="0"/>
        <v>71.100000000000009</v>
      </c>
      <c r="E14" s="2">
        <f t="shared" si="1"/>
        <v>7.8210000000000006</v>
      </c>
      <c r="F14" s="2">
        <f t="shared" si="2"/>
        <v>6.32</v>
      </c>
      <c r="G14" s="2">
        <f t="shared" si="3"/>
        <v>4.4239999999999995</v>
      </c>
      <c r="H14" s="2">
        <f t="shared" si="4"/>
        <v>0.5</v>
      </c>
      <c r="I14" s="2">
        <f t="shared" si="5"/>
        <v>12.745000000000001</v>
      </c>
      <c r="J14" s="2">
        <v>90</v>
      </c>
      <c r="K14" s="2">
        <f t="shared" si="6"/>
        <v>77.254999999999995</v>
      </c>
    </row>
    <row r="15" spans="1:13" ht="14.5" x14ac:dyDescent="0.35">
      <c r="A15" s="2">
        <v>14</v>
      </c>
      <c r="B15" t="s">
        <v>25</v>
      </c>
      <c r="C15" s="2">
        <v>146</v>
      </c>
      <c r="D15" s="2">
        <f t="shared" si="0"/>
        <v>131.4</v>
      </c>
      <c r="E15" s="2">
        <f t="shared" si="1"/>
        <v>14.454000000000001</v>
      </c>
      <c r="F15" s="2">
        <f t="shared" si="2"/>
        <v>11.68</v>
      </c>
      <c r="G15" s="2">
        <f t="shared" si="3"/>
        <v>8.1760000000000002</v>
      </c>
      <c r="H15" s="2">
        <f t="shared" si="4"/>
        <v>0.5</v>
      </c>
      <c r="I15" s="2">
        <f t="shared" si="5"/>
        <v>23.130000000000003</v>
      </c>
      <c r="J15" s="2">
        <v>150</v>
      </c>
      <c r="K15" s="2">
        <f t="shared" si="6"/>
        <v>126.87</v>
      </c>
    </row>
    <row r="16" spans="1:13" ht="14.5" x14ac:dyDescent="0.35">
      <c r="A16" s="2">
        <v>15</v>
      </c>
      <c r="B16" t="s">
        <v>26</v>
      </c>
      <c r="C16" s="2">
        <v>70</v>
      </c>
      <c r="D16" s="2">
        <f t="shared" si="0"/>
        <v>63</v>
      </c>
      <c r="E16" s="2">
        <f t="shared" si="1"/>
        <v>6.93</v>
      </c>
      <c r="F16" s="2">
        <f t="shared" si="2"/>
        <v>5.6000000000000005</v>
      </c>
      <c r="G16" s="2">
        <f t="shared" si="3"/>
        <v>3.92</v>
      </c>
      <c r="H16" s="2">
        <f t="shared" si="4"/>
        <v>0.5</v>
      </c>
      <c r="I16" s="2">
        <f t="shared" si="5"/>
        <v>11.35</v>
      </c>
      <c r="J16" s="2">
        <v>95</v>
      </c>
      <c r="K16" s="2">
        <f t="shared" si="6"/>
        <v>83.65</v>
      </c>
    </row>
    <row r="17" spans="1:11" ht="14.5" x14ac:dyDescent="0.35">
      <c r="A17" s="2">
        <v>16</v>
      </c>
      <c r="B17" t="s">
        <v>27</v>
      </c>
      <c r="C17" s="2">
        <v>39</v>
      </c>
      <c r="D17" s="2">
        <f t="shared" si="0"/>
        <v>35.1</v>
      </c>
      <c r="E17" s="2">
        <f t="shared" si="1"/>
        <v>3.8610000000000002</v>
      </c>
      <c r="F17" s="2">
        <f t="shared" si="2"/>
        <v>3.12</v>
      </c>
      <c r="G17" s="2">
        <f t="shared" si="3"/>
        <v>2.1839999999999997</v>
      </c>
      <c r="H17" s="2">
        <f t="shared" si="4"/>
        <v>0.5</v>
      </c>
      <c r="I17" s="2">
        <f t="shared" si="5"/>
        <v>6.5449999999999999</v>
      </c>
      <c r="J17" s="2">
        <v>50</v>
      </c>
      <c r="K17" s="2">
        <f t="shared" si="6"/>
        <v>43.454999999999998</v>
      </c>
    </row>
    <row r="18" spans="1:11" ht="14.5" x14ac:dyDescent="0.35">
      <c r="A18" s="2">
        <v>17</v>
      </c>
      <c r="B18" t="s">
        <v>28</v>
      </c>
      <c r="C18" s="2">
        <v>138</v>
      </c>
      <c r="D18" s="2">
        <f t="shared" si="0"/>
        <v>124.2</v>
      </c>
      <c r="E18" s="2">
        <f t="shared" si="1"/>
        <v>13.662000000000001</v>
      </c>
      <c r="F18" s="2">
        <f t="shared" si="2"/>
        <v>11.040000000000001</v>
      </c>
      <c r="G18" s="2">
        <f t="shared" si="3"/>
        <v>7.7279999999999998</v>
      </c>
      <c r="H18" s="2">
        <f t="shared" si="4"/>
        <v>0.5</v>
      </c>
      <c r="I18" s="2">
        <f t="shared" si="5"/>
        <v>21.89</v>
      </c>
      <c r="J18" s="2">
        <v>130</v>
      </c>
      <c r="K18" s="2">
        <f t="shared" si="6"/>
        <v>108.11</v>
      </c>
    </row>
    <row r="19" spans="1:11" ht="14.5" x14ac:dyDescent="0.35">
      <c r="A19" s="2">
        <v>18</v>
      </c>
      <c r="B19" t="s">
        <v>29</v>
      </c>
      <c r="C19" s="2">
        <v>46</v>
      </c>
      <c r="D19" s="2">
        <f t="shared" si="0"/>
        <v>41.4</v>
      </c>
      <c r="E19" s="2">
        <f t="shared" si="1"/>
        <v>4.5540000000000003</v>
      </c>
      <c r="F19" s="2">
        <f t="shared" si="2"/>
        <v>3.68</v>
      </c>
      <c r="G19" s="2">
        <f t="shared" si="3"/>
        <v>2.5760000000000001</v>
      </c>
      <c r="H19" s="2">
        <f t="shared" si="4"/>
        <v>0.5</v>
      </c>
      <c r="I19" s="2">
        <f t="shared" si="5"/>
        <v>7.6300000000000008</v>
      </c>
      <c r="J19" s="2">
        <v>50</v>
      </c>
      <c r="K19" s="2">
        <f t="shared" si="6"/>
        <v>42.37</v>
      </c>
    </row>
    <row r="20" spans="1:11" ht="14.5" x14ac:dyDescent="0.35">
      <c r="A20" s="2">
        <v>19</v>
      </c>
      <c r="B20" t="s">
        <v>30</v>
      </c>
      <c r="C20" s="2">
        <v>108</v>
      </c>
      <c r="D20" s="2">
        <f t="shared" si="0"/>
        <v>97.2</v>
      </c>
      <c r="E20" s="2">
        <f t="shared" si="1"/>
        <v>10.692</v>
      </c>
      <c r="F20" s="2">
        <f t="shared" si="2"/>
        <v>8.64</v>
      </c>
      <c r="G20" s="2">
        <f t="shared" si="3"/>
        <v>6.048</v>
      </c>
      <c r="H20" s="2">
        <f t="shared" si="4"/>
        <v>0.5</v>
      </c>
      <c r="I20" s="2">
        <f t="shared" si="5"/>
        <v>17.240000000000002</v>
      </c>
      <c r="J20" s="2">
        <v>150</v>
      </c>
      <c r="K20" s="2">
        <f t="shared" si="6"/>
        <v>132.76</v>
      </c>
    </row>
    <row r="21" spans="1:11" ht="15.75" customHeight="1" x14ac:dyDescent="0.35">
      <c r="A21" s="2">
        <v>20</v>
      </c>
      <c r="B21" t="s">
        <v>31</v>
      </c>
      <c r="C21" s="2">
        <v>35</v>
      </c>
      <c r="D21" s="2">
        <f t="shared" si="0"/>
        <v>31.5</v>
      </c>
      <c r="E21" s="2">
        <f t="shared" si="1"/>
        <v>3.4649999999999999</v>
      </c>
      <c r="F21" s="2">
        <f t="shared" si="2"/>
        <v>2.8000000000000003</v>
      </c>
      <c r="G21" s="2">
        <f t="shared" si="3"/>
        <v>1.96</v>
      </c>
      <c r="H21" s="2">
        <f t="shared" si="4"/>
        <v>0.5</v>
      </c>
      <c r="I21" s="2">
        <f t="shared" si="5"/>
        <v>5.9249999999999998</v>
      </c>
      <c r="J21" s="2">
        <v>45</v>
      </c>
      <c r="K21" s="2">
        <f t="shared" si="6"/>
        <v>39.075000000000003</v>
      </c>
    </row>
    <row r="22" spans="1:11" ht="15.75" customHeight="1" x14ac:dyDescent="0.35">
      <c r="A22" s="2">
        <v>21</v>
      </c>
      <c r="B22" t="s">
        <v>32</v>
      </c>
      <c r="C22" s="2">
        <v>33</v>
      </c>
      <c r="D22" s="2">
        <f t="shared" si="0"/>
        <v>29.7</v>
      </c>
      <c r="E22" s="2">
        <f t="shared" si="1"/>
        <v>3.2669999999999999</v>
      </c>
      <c r="F22" s="2">
        <f t="shared" si="2"/>
        <v>2.64</v>
      </c>
      <c r="G22" s="2">
        <f t="shared" si="3"/>
        <v>1.8479999999999999</v>
      </c>
      <c r="H22" s="2">
        <f t="shared" si="4"/>
        <v>0.5</v>
      </c>
      <c r="I22" s="2">
        <f t="shared" si="5"/>
        <v>5.6150000000000002</v>
      </c>
      <c r="J22" s="2">
        <v>45</v>
      </c>
      <c r="K22" s="2">
        <f t="shared" si="6"/>
        <v>39.384999999999998</v>
      </c>
    </row>
    <row r="23" spans="1:11" ht="15.75" customHeight="1" x14ac:dyDescent="0.35">
      <c r="A23" s="2">
        <v>22</v>
      </c>
      <c r="B23" t="s">
        <v>33</v>
      </c>
      <c r="C23" s="2">
        <v>39</v>
      </c>
      <c r="D23" s="2">
        <f t="shared" si="0"/>
        <v>35.1</v>
      </c>
      <c r="E23" s="2">
        <f t="shared" si="1"/>
        <v>3.8610000000000002</v>
      </c>
      <c r="F23" s="2">
        <f t="shared" si="2"/>
        <v>3.12</v>
      </c>
      <c r="G23" s="2">
        <f t="shared" si="3"/>
        <v>2.1839999999999997</v>
      </c>
      <c r="H23" s="2">
        <f t="shared" si="4"/>
        <v>0.5</v>
      </c>
      <c r="I23" s="2">
        <f t="shared" si="5"/>
        <v>6.5449999999999999</v>
      </c>
      <c r="J23" s="2">
        <v>45</v>
      </c>
      <c r="K23" s="2">
        <f t="shared" si="6"/>
        <v>38.454999999999998</v>
      </c>
    </row>
    <row r="24" spans="1:11" ht="15.75" customHeight="1" x14ac:dyDescent="0.35">
      <c r="A24" s="2">
        <v>23</v>
      </c>
      <c r="B24" t="s">
        <v>34</v>
      </c>
      <c r="C24" s="2">
        <v>47</v>
      </c>
      <c r="D24" s="2">
        <f t="shared" si="0"/>
        <v>42.300000000000004</v>
      </c>
      <c r="E24" s="2">
        <f t="shared" si="1"/>
        <v>4.6530000000000005</v>
      </c>
      <c r="F24" s="2">
        <f t="shared" si="2"/>
        <v>3.7600000000000002</v>
      </c>
      <c r="G24" s="2">
        <f t="shared" si="3"/>
        <v>2.6320000000000001</v>
      </c>
      <c r="H24" s="2">
        <f t="shared" si="4"/>
        <v>0.5</v>
      </c>
      <c r="I24" s="2">
        <f t="shared" si="5"/>
        <v>7.7850000000000001</v>
      </c>
      <c r="J24" s="2">
        <v>80</v>
      </c>
      <c r="K24" s="2">
        <f t="shared" si="6"/>
        <v>72.215000000000003</v>
      </c>
    </row>
    <row r="25" spans="1:11" ht="15.75" customHeight="1" x14ac:dyDescent="0.35">
      <c r="A25" s="2">
        <v>24</v>
      </c>
      <c r="B25" t="s">
        <v>35</v>
      </c>
      <c r="C25" s="2">
        <v>86</v>
      </c>
      <c r="D25" s="2">
        <f t="shared" si="0"/>
        <v>77.400000000000006</v>
      </c>
      <c r="E25" s="2">
        <f t="shared" si="1"/>
        <v>8.5140000000000011</v>
      </c>
      <c r="F25" s="2">
        <f t="shared" si="2"/>
        <v>6.88</v>
      </c>
      <c r="G25" s="2">
        <f t="shared" si="3"/>
        <v>4.8159999999999998</v>
      </c>
      <c r="H25" s="2">
        <f t="shared" si="4"/>
        <v>0.5</v>
      </c>
      <c r="I25" s="2">
        <f t="shared" si="5"/>
        <v>13.830000000000002</v>
      </c>
      <c r="J25" s="2">
        <v>100</v>
      </c>
      <c r="K25" s="2">
        <f t="shared" si="6"/>
        <v>86.17</v>
      </c>
    </row>
    <row r="26" spans="1:11" ht="15.75" customHeight="1" x14ac:dyDescent="0.35">
      <c r="A26" s="2">
        <v>25</v>
      </c>
      <c r="B26" t="s">
        <v>36</v>
      </c>
      <c r="C26" s="2">
        <v>44</v>
      </c>
      <c r="D26" s="2">
        <f t="shared" si="0"/>
        <v>39.6</v>
      </c>
      <c r="E26" s="2">
        <f t="shared" si="1"/>
        <v>4.3559999999999999</v>
      </c>
      <c r="F26" s="2">
        <f t="shared" si="2"/>
        <v>3.52</v>
      </c>
      <c r="G26" s="2">
        <f t="shared" si="3"/>
        <v>2.464</v>
      </c>
      <c r="H26" s="2">
        <f t="shared" si="4"/>
        <v>0.5</v>
      </c>
      <c r="I26" s="2">
        <f t="shared" si="5"/>
        <v>7.32</v>
      </c>
      <c r="J26" s="2">
        <v>50</v>
      </c>
      <c r="K26" s="2">
        <f t="shared" si="6"/>
        <v>42.68</v>
      </c>
    </row>
    <row r="27" spans="1:11" ht="15.75" customHeight="1" x14ac:dyDescent="0.35">
      <c r="A27" s="2">
        <v>26</v>
      </c>
      <c r="B27" t="s">
        <v>37</v>
      </c>
      <c r="C27" s="2">
        <v>76</v>
      </c>
      <c r="D27" s="2">
        <f t="shared" si="0"/>
        <v>68.400000000000006</v>
      </c>
      <c r="E27" s="2">
        <f t="shared" si="1"/>
        <v>7.5240000000000009</v>
      </c>
      <c r="F27" s="2">
        <f t="shared" si="2"/>
        <v>6.08</v>
      </c>
      <c r="G27" s="2">
        <f t="shared" si="3"/>
        <v>4.2559999999999993</v>
      </c>
      <c r="H27" s="2">
        <f t="shared" si="4"/>
        <v>0.5</v>
      </c>
      <c r="I27" s="2">
        <f t="shared" si="5"/>
        <v>12.280000000000001</v>
      </c>
      <c r="J27" s="2">
        <v>80</v>
      </c>
      <c r="K27" s="2">
        <f t="shared" si="6"/>
        <v>67.72</v>
      </c>
    </row>
    <row r="28" spans="1:11" ht="15.75" customHeight="1" x14ac:dyDescent="0.35">
      <c r="A28" s="2">
        <v>27</v>
      </c>
      <c r="B28" t="s">
        <v>38</v>
      </c>
      <c r="C28" s="2">
        <v>22</v>
      </c>
      <c r="D28" s="2">
        <f t="shared" si="0"/>
        <v>19.8</v>
      </c>
      <c r="E28" s="2">
        <f t="shared" si="1"/>
        <v>2.1779999999999999</v>
      </c>
      <c r="F28" s="2">
        <f t="shared" si="2"/>
        <v>1.76</v>
      </c>
      <c r="G28" s="2">
        <f t="shared" si="3"/>
        <v>1.232</v>
      </c>
      <c r="H28" s="2">
        <f t="shared" si="4"/>
        <v>0.5</v>
      </c>
      <c r="I28" s="2">
        <f t="shared" si="5"/>
        <v>3.91</v>
      </c>
      <c r="J28" s="2">
        <v>35</v>
      </c>
      <c r="K28" s="2">
        <f t="shared" si="6"/>
        <v>31.09</v>
      </c>
    </row>
    <row r="29" spans="1:11" ht="15.75" customHeight="1" x14ac:dyDescent="0.35">
      <c r="A29" s="2">
        <v>28</v>
      </c>
      <c r="B29" t="s">
        <v>42</v>
      </c>
      <c r="C29" s="2">
        <v>50</v>
      </c>
      <c r="D29" s="2">
        <f t="shared" si="0"/>
        <v>45</v>
      </c>
      <c r="E29" s="2">
        <f t="shared" si="1"/>
        <v>4.95</v>
      </c>
      <c r="F29" s="2">
        <f t="shared" si="2"/>
        <v>4</v>
      </c>
      <c r="G29" s="2">
        <f t="shared" si="3"/>
        <v>2.8</v>
      </c>
      <c r="H29" s="2">
        <v>0.5</v>
      </c>
      <c r="I29" s="2">
        <f>E29+G29+H29</f>
        <v>8.25</v>
      </c>
      <c r="J29" s="2">
        <v>75</v>
      </c>
      <c r="K29" s="2">
        <f t="shared" si="6"/>
        <v>66.75</v>
      </c>
    </row>
    <row r="30" spans="1:11" ht="15.75" customHeight="1" x14ac:dyDescent="0.35"/>
    <row r="31" spans="1:11" ht="15.75" customHeight="1" x14ac:dyDescent="0.35"/>
    <row r="32" spans="1:11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274B-32B2-46BB-A88E-60A1CC0C5564}">
  <dimension ref="A1:E11"/>
  <sheetViews>
    <sheetView workbookViewId="0">
      <selection activeCell="B2" sqref="B2"/>
    </sheetView>
  </sheetViews>
  <sheetFormatPr baseColWidth="10" defaultRowHeight="14.5" x14ac:dyDescent="0.35"/>
  <cols>
    <col min="1" max="1" width="6.36328125" customWidth="1"/>
    <col min="3" max="3" width="13.54296875" customWidth="1"/>
  </cols>
  <sheetData>
    <row r="1" spans="1:5" x14ac:dyDescent="0.35">
      <c r="A1" s="6" t="s">
        <v>44</v>
      </c>
      <c r="B1" s="1" t="s">
        <v>45</v>
      </c>
      <c r="C1" s="3" t="s">
        <v>46</v>
      </c>
      <c r="D1" s="3" t="s">
        <v>47</v>
      </c>
    </row>
    <row r="2" spans="1:5" x14ac:dyDescent="0.35">
      <c r="A2" s="2">
        <v>1</v>
      </c>
      <c r="C2" s="2"/>
      <c r="D2" s="2"/>
      <c r="E2" s="2"/>
    </row>
    <row r="3" spans="1:5" x14ac:dyDescent="0.35">
      <c r="A3" s="2">
        <v>2</v>
      </c>
      <c r="C3" s="2"/>
      <c r="D3" s="2"/>
      <c r="E3" s="2"/>
    </row>
    <row r="4" spans="1:5" x14ac:dyDescent="0.35">
      <c r="A4" s="2">
        <v>3</v>
      </c>
      <c r="C4" s="2"/>
      <c r="D4" s="2"/>
      <c r="E4" s="2"/>
    </row>
    <row r="5" spans="1:5" x14ac:dyDescent="0.35">
      <c r="A5" s="2">
        <v>4</v>
      </c>
      <c r="C5" s="2"/>
      <c r="D5" s="2"/>
      <c r="E5" s="2"/>
    </row>
    <row r="6" spans="1:5" x14ac:dyDescent="0.35">
      <c r="A6" s="2">
        <v>5</v>
      </c>
      <c r="C6" s="2"/>
      <c r="D6" s="2"/>
      <c r="E6" s="2"/>
    </row>
    <row r="7" spans="1:5" x14ac:dyDescent="0.35">
      <c r="A7" s="2">
        <v>6</v>
      </c>
      <c r="C7" s="2"/>
      <c r="D7" s="2"/>
      <c r="E7" s="2"/>
    </row>
    <row r="8" spans="1:5" x14ac:dyDescent="0.35">
      <c r="A8" s="2">
        <v>7</v>
      </c>
      <c r="C8" s="2"/>
      <c r="D8" s="2"/>
      <c r="E8" s="2"/>
    </row>
    <row r="9" spans="1:5" x14ac:dyDescent="0.35">
      <c r="A9" s="2">
        <v>8</v>
      </c>
      <c r="C9" s="2"/>
      <c r="D9" s="2"/>
      <c r="E9" s="2"/>
    </row>
    <row r="10" spans="1:5" x14ac:dyDescent="0.35">
      <c r="A10" s="2">
        <v>9</v>
      </c>
      <c r="B10" s="1"/>
      <c r="C10" s="3"/>
      <c r="D10" s="3"/>
    </row>
    <row r="11" spans="1:5" x14ac:dyDescent="0.35">
      <c r="A11" s="2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Costeo Velas</vt:lpstr>
      <vt:lpstr>Fragancias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GARCIA GONZALEZ, AURA LIZETH</cp:lastModifiedBy>
  <dcterms:created xsi:type="dcterms:W3CDTF">2026-08-04T20:01:01Z</dcterms:created>
  <dcterms:modified xsi:type="dcterms:W3CDTF">2026-08-09T04:59:38Z</dcterms:modified>
</cp:coreProperties>
</file>